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in/Downloads/"/>
    </mc:Choice>
  </mc:AlternateContent>
  <xr:revisionPtr revIDLastSave="0" documentId="13_ncr:1_{5E2E9810-FEF9-BB49-A3E0-548526DB385D}" xr6:coauthVersionLast="47" xr6:coauthVersionMax="47" xr10:uidLastSave="{00000000-0000-0000-0000-000000000000}"/>
  <bookViews>
    <workbookView xWindow="0" yWindow="0" windowWidth="28800" windowHeight="18000" xr2:uid="{1B685628-5DD8-F544-9620-7343616F4EF6}"/>
  </bookViews>
  <sheets>
    <sheet name="Momentum strateg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J2" i="2"/>
  <c r="I254" i="2"/>
  <c r="F253" i="2"/>
  <c r="F252" i="2"/>
  <c r="F248" i="2"/>
  <c r="F249" i="2"/>
  <c r="F250" i="2"/>
  <c r="F251" i="2"/>
  <c r="F247" i="2"/>
  <c r="F246" i="2"/>
  <c r="F245" i="2"/>
  <c r="F244" i="2"/>
  <c r="F243" i="2"/>
  <c r="F242" i="2"/>
  <c r="F241" i="2"/>
  <c r="F240" i="2"/>
  <c r="F237" i="2"/>
  <c r="F238" i="2"/>
  <c r="F239" i="2"/>
  <c r="F236" i="2"/>
  <c r="F235" i="2"/>
  <c r="F234" i="2"/>
  <c r="F232" i="2"/>
  <c r="F233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09" i="2"/>
  <c r="F210" i="2"/>
  <c r="F208" i="2"/>
  <c r="F207" i="2"/>
  <c r="F206" i="2"/>
  <c r="F205" i="2"/>
  <c r="F204" i="2"/>
  <c r="F203" i="2"/>
  <c r="F202" i="2"/>
  <c r="F200" i="2"/>
  <c r="F201" i="2"/>
  <c r="F199" i="2"/>
  <c r="F198" i="2"/>
  <c r="F197" i="2"/>
  <c r="F196" i="2"/>
  <c r="F195" i="2"/>
  <c r="F192" i="2"/>
  <c r="F193" i="2"/>
  <c r="F194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8" i="2"/>
  <c r="F149" i="2"/>
  <c r="F147" i="2"/>
  <c r="F146" i="2"/>
  <c r="F145" i="2"/>
  <c r="F144" i="2"/>
  <c r="F143" i="2"/>
  <c r="F142" i="2"/>
  <c r="F140" i="2"/>
  <c r="F141" i="2"/>
  <c r="F139" i="2"/>
  <c r="F135" i="2"/>
  <c r="F136" i="2"/>
  <c r="F137" i="2"/>
  <c r="F138" i="2"/>
  <c r="F134" i="2"/>
  <c r="F133" i="2"/>
  <c r="F132" i="2"/>
  <c r="F131" i="2"/>
  <c r="F130" i="2"/>
  <c r="F129" i="2"/>
  <c r="F128" i="2"/>
  <c r="F127" i="2"/>
  <c r="F125" i="2"/>
  <c r="F126" i="2"/>
  <c r="F124" i="2"/>
  <c r="F123" i="2"/>
  <c r="F122" i="2"/>
  <c r="F121" i="2"/>
  <c r="F120" i="2"/>
  <c r="F119" i="2"/>
  <c r="F118" i="2"/>
  <c r="F116" i="2"/>
  <c r="F117" i="2"/>
  <c r="F115" i="2"/>
  <c r="F112" i="2"/>
  <c r="F113" i="2"/>
  <c r="F114" i="2"/>
  <c r="F111" i="2"/>
  <c r="F110" i="2"/>
  <c r="F109" i="2"/>
  <c r="F108" i="2"/>
  <c r="F107" i="2"/>
  <c r="F105" i="2"/>
  <c r="F106" i="2"/>
  <c r="F104" i="2"/>
  <c r="F103" i="2"/>
  <c r="F102" i="2"/>
  <c r="F99" i="2"/>
  <c r="F100" i="2"/>
  <c r="F101" i="2"/>
  <c r="F98" i="2"/>
  <c r="F97" i="2"/>
  <c r="F96" i="2"/>
  <c r="F95" i="2"/>
  <c r="F94" i="2"/>
  <c r="F93" i="2"/>
  <c r="F92" i="2"/>
  <c r="F91" i="2"/>
  <c r="F90" i="2"/>
  <c r="F89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1" i="2"/>
  <c r="F72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7" i="2"/>
  <c r="F48" i="2"/>
  <c r="F46" i="2"/>
  <c r="F45" i="2"/>
  <c r="F44" i="2"/>
  <c r="F43" i="2"/>
  <c r="F42" i="2"/>
  <c r="F41" i="2"/>
  <c r="F40" i="2"/>
  <c r="F39" i="2"/>
  <c r="F33" i="2"/>
  <c r="F34" i="2"/>
  <c r="F35" i="2"/>
  <c r="F36" i="2"/>
  <c r="F37" i="2"/>
  <c r="F38" i="2"/>
  <c r="F32" i="2"/>
  <c r="F30" i="2"/>
  <c r="F31" i="2"/>
  <c r="F29" i="2"/>
  <c r="F28" i="2"/>
  <c r="F27" i="2"/>
  <c r="F26" i="2"/>
  <c r="F23" i="2"/>
  <c r="F22" i="2"/>
  <c r="F25" i="2"/>
  <c r="F24" i="2"/>
  <c r="F21" i="2"/>
  <c r="F20" i="2"/>
  <c r="F19" i="2"/>
  <c r="F18" i="2"/>
  <c r="F17" i="2"/>
  <c r="F16" i="2"/>
  <c r="F15" i="2"/>
  <c r="F13" i="2"/>
  <c r="F14" i="2"/>
  <c r="F12" i="2"/>
  <c r="F11" i="2"/>
  <c r="F10" i="2"/>
  <c r="F9" i="2"/>
  <c r="F8" i="2"/>
  <c r="E9" i="2"/>
  <c r="E8" i="2"/>
  <c r="F7" i="2"/>
  <c r="F5" i="2"/>
  <c r="F4" i="2"/>
  <c r="D4" i="2"/>
  <c r="D5" i="2"/>
  <c r="D6" i="2"/>
  <c r="F6" i="2" s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3" i="2"/>
  <c r="I11" i="2"/>
  <c r="I10" i="2"/>
  <c r="I9" i="2"/>
  <c r="I6" i="2"/>
  <c r="I5" i="2"/>
  <c r="O2" i="2"/>
  <c r="N2" i="2"/>
  <c r="M2" i="2"/>
  <c r="G3" i="2"/>
  <c r="I253" i="2"/>
  <c r="I251" i="2"/>
  <c r="I252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7" i="2"/>
  <c r="I209" i="2"/>
  <c r="I208" i="2"/>
  <c r="I205" i="2"/>
  <c r="I206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2" i="2"/>
  <c r="I183" i="2"/>
  <c r="I181" i="2"/>
  <c r="I180" i="2"/>
  <c r="I179" i="2"/>
  <c r="I178" i="2"/>
  <c r="I177" i="2"/>
  <c r="I176" i="2"/>
  <c r="I175" i="2"/>
  <c r="I174" i="2"/>
  <c r="I173" i="2"/>
  <c r="I172" i="2"/>
  <c r="I171" i="2"/>
  <c r="I169" i="2"/>
  <c r="I170" i="2"/>
  <c r="I168" i="2"/>
  <c r="I167" i="2"/>
  <c r="I166" i="2"/>
  <c r="I165" i="2"/>
  <c r="I164" i="2"/>
  <c r="I163" i="2"/>
  <c r="I162" i="2"/>
  <c r="I161" i="2"/>
  <c r="I160" i="2"/>
  <c r="I159" i="2"/>
  <c r="I157" i="2"/>
  <c r="I154" i="2"/>
  <c r="H154" i="2"/>
  <c r="H155" i="2" s="1"/>
  <c r="H156" i="2" s="1"/>
  <c r="I153" i="2"/>
  <c r="I152" i="2"/>
  <c r="I151" i="2"/>
  <c r="I150" i="2"/>
  <c r="I149" i="2"/>
  <c r="I146" i="2"/>
  <c r="I143" i="2"/>
  <c r="I142" i="2"/>
  <c r="I140" i="2"/>
  <c r="I136" i="2"/>
  <c r="I135" i="2"/>
  <c r="H135" i="2"/>
  <c r="H142" i="2" s="1"/>
  <c r="I134" i="2"/>
  <c r="I133" i="2"/>
  <c r="H132" i="2"/>
  <c r="H141" i="2" s="1"/>
  <c r="H143" i="2" s="1"/>
  <c r="H145" i="2" s="1"/>
  <c r="H144" i="2" s="1"/>
  <c r="I131" i="2"/>
  <c r="I130" i="2"/>
  <c r="H129" i="2"/>
  <c r="I128" i="2"/>
  <c r="I127" i="2"/>
  <c r="H126" i="2"/>
  <c r="H131" i="2" s="1"/>
  <c r="H140" i="2" s="1"/>
  <c r="I123" i="2"/>
  <c r="I122" i="2"/>
  <c r="I120" i="2"/>
  <c r="H120" i="2"/>
  <c r="H121" i="2" s="1"/>
  <c r="H123" i="2" s="1"/>
  <c r="H125" i="2" s="1"/>
  <c r="I119" i="2"/>
  <c r="I118" i="2"/>
  <c r="I117" i="2"/>
  <c r="I116" i="2"/>
  <c r="H115" i="2"/>
  <c r="H119" i="2" s="1"/>
  <c r="I114" i="2"/>
  <c r="I113" i="2"/>
  <c r="I112" i="2"/>
  <c r="I111" i="2"/>
  <c r="I110" i="2"/>
  <c r="I109" i="2"/>
  <c r="I108" i="2"/>
  <c r="I107" i="2"/>
  <c r="I105" i="2"/>
  <c r="I104" i="2"/>
  <c r="I103" i="2"/>
  <c r="I102" i="2"/>
  <c r="H96" i="2"/>
  <c r="H97" i="2" s="1"/>
  <c r="H98" i="2" s="1"/>
  <c r="H99" i="2" s="1"/>
  <c r="H100" i="2" s="1"/>
  <c r="H101" i="2" s="1"/>
  <c r="H103" i="2" s="1"/>
  <c r="H105" i="2" s="1"/>
  <c r="H106" i="2" s="1"/>
  <c r="H108" i="2" s="1"/>
  <c r="H109" i="2" s="1"/>
  <c r="I95" i="2"/>
  <c r="I94" i="2"/>
  <c r="I93" i="2"/>
  <c r="I92" i="2"/>
  <c r="I91" i="2"/>
  <c r="I90" i="2"/>
  <c r="I89" i="2"/>
  <c r="H89" i="2"/>
  <c r="H91" i="2" s="1"/>
  <c r="H94" i="2" s="1"/>
  <c r="I88" i="2"/>
  <c r="I87" i="2"/>
  <c r="H87" i="2"/>
  <c r="H88" i="2" s="1"/>
  <c r="I86" i="2"/>
  <c r="I85" i="2"/>
  <c r="I84" i="2"/>
  <c r="I83" i="2"/>
  <c r="I82" i="2"/>
  <c r="H82" i="2"/>
  <c r="I81" i="2"/>
  <c r="I80" i="2"/>
  <c r="I79" i="2"/>
  <c r="I78" i="2"/>
  <c r="H78" i="2"/>
  <c r="H83" i="2" s="1"/>
  <c r="H84" i="2" s="1"/>
  <c r="H85" i="2" s="1"/>
  <c r="H90" i="2" s="1"/>
  <c r="H92" i="2" s="1"/>
  <c r="H93" i="2" s="1"/>
  <c r="I77" i="2"/>
  <c r="I76" i="2"/>
  <c r="I75" i="2"/>
  <c r="H74" i="2"/>
  <c r="I73" i="2"/>
  <c r="I72" i="2"/>
  <c r="I71" i="2"/>
  <c r="I69" i="2"/>
  <c r="I68" i="2"/>
  <c r="H67" i="2"/>
  <c r="H69" i="2" s="1"/>
  <c r="H70" i="2" s="1"/>
  <c r="I66" i="2"/>
  <c r="I65" i="2"/>
  <c r="H65" i="2"/>
  <c r="I64" i="2"/>
  <c r="I63" i="2"/>
  <c r="H61" i="2"/>
  <c r="H62" i="2" s="1"/>
  <c r="H64" i="2" s="1"/>
  <c r="H72" i="2" s="1"/>
  <c r="H75" i="2" s="1"/>
  <c r="I61" i="2"/>
  <c r="I60" i="2"/>
  <c r="I59" i="2"/>
  <c r="I58" i="2"/>
  <c r="I57" i="2"/>
  <c r="I56" i="2"/>
  <c r="I55" i="2"/>
  <c r="I52" i="2"/>
  <c r="I51" i="2"/>
  <c r="I49" i="2"/>
  <c r="I48" i="2"/>
  <c r="I47" i="2"/>
  <c r="I46" i="2"/>
  <c r="I44" i="2"/>
  <c r="I41" i="2"/>
  <c r="H41" i="2"/>
  <c r="H42" i="2" s="1"/>
  <c r="H43" i="2" s="1"/>
  <c r="H48" i="2" s="1"/>
  <c r="H51" i="2" s="1"/>
  <c r="H55" i="2" s="1"/>
  <c r="I40" i="2"/>
  <c r="H40" i="2"/>
  <c r="H46" i="2" s="1"/>
  <c r="I39" i="2"/>
  <c r="I38" i="2"/>
  <c r="I36" i="2"/>
  <c r="H36" i="2"/>
  <c r="H37" i="2" s="1"/>
  <c r="I34" i="2"/>
  <c r="I33" i="2"/>
  <c r="I32" i="2"/>
  <c r="I31" i="2"/>
  <c r="I28" i="2"/>
  <c r="I27" i="2"/>
  <c r="I26" i="2"/>
  <c r="H26" i="2"/>
  <c r="H28" i="2" s="1"/>
  <c r="H29" i="2" s="1"/>
  <c r="H30" i="2" s="1"/>
  <c r="H32" i="2" s="1"/>
  <c r="I25" i="2"/>
  <c r="I20" i="2"/>
  <c r="I19" i="2"/>
  <c r="I18" i="2"/>
  <c r="I16" i="2"/>
  <c r="I15" i="2"/>
  <c r="I14" i="2"/>
  <c r="I13" i="2"/>
  <c r="I12" i="2"/>
  <c r="H10" i="2"/>
  <c r="H12" i="2" s="1"/>
  <c r="H14" i="2" s="1"/>
  <c r="H15" i="2" s="1"/>
  <c r="H16" i="2" s="1"/>
  <c r="H17" i="2" s="1"/>
  <c r="H19" i="2" s="1"/>
  <c r="H20" i="2" s="1"/>
  <c r="H21" i="2" s="1"/>
  <c r="H22" i="2" s="1"/>
  <c r="H23" i="2" s="1"/>
  <c r="H7" i="2"/>
  <c r="H6" i="2"/>
  <c r="G6" i="2"/>
  <c r="G7" i="2"/>
  <c r="I7" i="2" s="1"/>
  <c r="G8" i="2"/>
  <c r="I8" i="2" s="1"/>
  <c r="G9" i="2"/>
  <c r="G10" i="2"/>
  <c r="G11" i="2"/>
  <c r="G12" i="2"/>
  <c r="G13" i="2"/>
  <c r="G14" i="2"/>
  <c r="G15" i="2"/>
  <c r="G16" i="2"/>
  <c r="G17" i="2"/>
  <c r="I17" i="2" s="1"/>
  <c r="G18" i="2"/>
  <c r="G19" i="2"/>
  <c r="G20" i="2"/>
  <c r="G21" i="2"/>
  <c r="I21" i="2" s="1"/>
  <c r="G22" i="2"/>
  <c r="I22" i="2" s="1"/>
  <c r="G23" i="2"/>
  <c r="I23" i="2" s="1"/>
  <c r="G24" i="2"/>
  <c r="I24" i="2" s="1"/>
  <c r="G25" i="2"/>
  <c r="G26" i="2"/>
  <c r="G27" i="2"/>
  <c r="G28" i="2"/>
  <c r="G29" i="2"/>
  <c r="I29" i="2" s="1"/>
  <c r="G30" i="2"/>
  <c r="I30" i="2" s="1"/>
  <c r="G31" i="2"/>
  <c r="G32" i="2"/>
  <c r="G33" i="2"/>
  <c r="G34" i="2"/>
  <c r="G35" i="2"/>
  <c r="I35" i="2" s="1"/>
  <c r="G36" i="2"/>
  <c r="G37" i="2"/>
  <c r="I37" i="2" s="1"/>
  <c r="G38" i="2"/>
  <c r="G39" i="2"/>
  <c r="G40" i="2"/>
  <c r="G41" i="2"/>
  <c r="G42" i="2"/>
  <c r="I42" i="2" s="1"/>
  <c r="G43" i="2"/>
  <c r="I43" i="2" s="1"/>
  <c r="G44" i="2"/>
  <c r="G45" i="2"/>
  <c r="I45" i="2" s="1"/>
  <c r="G46" i="2"/>
  <c r="G47" i="2"/>
  <c r="G48" i="2"/>
  <c r="G49" i="2"/>
  <c r="G50" i="2"/>
  <c r="I50" i="2" s="1"/>
  <c r="G51" i="2"/>
  <c r="G52" i="2"/>
  <c r="G53" i="2"/>
  <c r="I53" i="2" s="1"/>
  <c r="G54" i="2"/>
  <c r="I54" i="2" s="1"/>
  <c r="G55" i="2"/>
  <c r="G56" i="2"/>
  <c r="G57" i="2"/>
  <c r="G58" i="2"/>
  <c r="G59" i="2"/>
  <c r="G60" i="2"/>
  <c r="G61" i="2"/>
  <c r="G62" i="2"/>
  <c r="I62" i="2" s="1"/>
  <c r="G63" i="2"/>
  <c r="G64" i="2"/>
  <c r="G65" i="2"/>
  <c r="G66" i="2"/>
  <c r="G67" i="2"/>
  <c r="I67" i="2" s="1"/>
  <c r="G68" i="2"/>
  <c r="G69" i="2"/>
  <c r="G70" i="2"/>
  <c r="I70" i="2" s="1"/>
  <c r="G71" i="2"/>
  <c r="G72" i="2"/>
  <c r="G73" i="2"/>
  <c r="G74" i="2"/>
  <c r="I74" i="2" s="1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I96" i="2" s="1"/>
  <c r="G97" i="2"/>
  <c r="I97" i="2" s="1"/>
  <c r="G98" i="2"/>
  <c r="I98" i="2" s="1"/>
  <c r="G99" i="2"/>
  <c r="I99" i="2" s="1"/>
  <c r="G100" i="2"/>
  <c r="I100" i="2" s="1"/>
  <c r="G101" i="2"/>
  <c r="I101" i="2" s="1"/>
  <c r="G102" i="2"/>
  <c r="G103" i="2"/>
  <c r="G104" i="2"/>
  <c r="G105" i="2"/>
  <c r="G106" i="2"/>
  <c r="I106" i="2" s="1"/>
  <c r="G107" i="2"/>
  <c r="G108" i="2"/>
  <c r="G109" i="2"/>
  <c r="G110" i="2"/>
  <c r="G111" i="2"/>
  <c r="G112" i="2"/>
  <c r="G113" i="2"/>
  <c r="G114" i="2"/>
  <c r="G115" i="2"/>
  <c r="I115" i="2" s="1"/>
  <c r="G116" i="2"/>
  <c r="G117" i="2"/>
  <c r="G118" i="2"/>
  <c r="G119" i="2"/>
  <c r="G120" i="2"/>
  <c r="G121" i="2"/>
  <c r="I121" i="2" s="1"/>
  <c r="G122" i="2"/>
  <c r="G123" i="2"/>
  <c r="G124" i="2"/>
  <c r="I124" i="2" s="1"/>
  <c r="G125" i="2"/>
  <c r="I125" i="2" s="1"/>
  <c r="G126" i="2"/>
  <c r="I126" i="2" s="1"/>
  <c r="G127" i="2"/>
  <c r="G128" i="2"/>
  <c r="G129" i="2"/>
  <c r="I129" i="2" s="1"/>
  <c r="G130" i="2"/>
  <c r="G131" i="2"/>
  <c r="G132" i="2"/>
  <c r="I132" i="2" s="1"/>
  <c r="G133" i="2"/>
  <c r="G134" i="2"/>
  <c r="G135" i="2"/>
  <c r="G136" i="2"/>
  <c r="G137" i="2"/>
  <c r="I137" i="2" s="1"/>
  <c r="G138" i="2"/>
  <c r="I138" i="2" s="1"/>
  <c r="G139" i="2"/>
  <c r="I139" i="2" s="1"/>
  <c r="G140" i="2"/>
  <c r="G141" i="2"/>
  <c r="I141" i="2" s="1"/>
  <c r="G142" i="2"/>
  <c r="G143" i="2"/>
  <c r="G144" i="2"/>
  <c r="I144" i="2" s="1"/>
  <c r="G145" i="2"/>
  <c r="I145" i="2" s="1"/>
  <c r="G146" i="2"/>
  <c r="G147" i="2"/>
  <c r="I147" i="2" s="1"/>
  <c r="G148" i="2"/>
  <c r="I148" i="2" s="1"/>
  <c r="G149" i="2"/>
  <c r="G150" i="2"/>
  <c r="G151" i="2"/>
  <c r="G152" i="2"/>
  <c r="G153" i="2"/>
  <c r="G154" i="2"/>
  <c r="G155" i="2"/>
  <c r="I155" i="2" s="1"/>
  <c r="G156" i="2"/>
  <c r="I156" i="2" s="1"/>
  <c r="G157" i="2"/>
  <c r="G158" i="2"/>
  <c r="I158" i="2" s="1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H5" i="2"/>
  <c r="H18" i="2" s="1"/>
  <c r="G4" i="2"/>
  <c r="I4" i="2" s="1"/>
  <c r="G5" i="2"/>
  <c r="H4" i="2"/>
  <c r="H3" i="2"/>
  <c r="H9" i="2" s="1"/>
  <c r="H11" i="2" s="1"/>
  <c r="H13" i="2" s="1"/>
  <c r="H25" i="2" s="1"/>
  <c r="H27" i="2" s="1"/>
  <c r="H31" i="2" s="1"/>
  <c r="K2" i="2" l="1"/>
  <c r="H44" i="2"/>
  <c r="H45" i="2" s="1"/>
  <c r="H49" i="2" s="1"/>
  <c r="H50" i="2" s="1"/>
  <c r="H52" i="2" s="1"/>
  <c r="H53" i="2" s="1"/>
  <c r="H54" i="2" s="1"/>
  <c r="H56" i="2" s="1"/>
  <c r="H58" i="2" s="1"/>
  <c r="H47" i="2"/>
  <c r="H5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tc={9551E9B6-9C40-8F49-B0A2-84F80DA74943}</author>
  </authors>
  <commentList>
    <comment ref="F4" authorId="0" shapeId="0" xr:uid="{9551E9B6-9C40-8F49-B0A2-84F80DA749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since we are selling all the - would be profit
</t>
      </text>
    </comment>
  </commentList>
</comments>
</file>

<file path=xl/sharedStrings.xml><?xml version="1.0" encoding="utf-8"?>
<sst xmlns="http://schemas.openxmlformats.org/spreadsheetml/2006/main" count="413" uniqueCount="16">
  <si>
    <t>Monthly Return (US)</t>
  </si>
  <si>
    <t>Monthly Return (IND)</t>
  </si>
  <si>
    <t>Monthly_Return (Japan)</t>
  </si>
  <si>
    <t>US</t>
  </si>
  <si>
    <t>Buy Signal</t>
  </si>
  <si>
    <t>JAPAN</t>
  </si>
  <si>
    <t>Returns</t>
  </si>
  <si>
    <t>Max return</t>
  </si>
  <si>
    <t>INDIA</t>
  </si>
  <si>
    <t>Sell Signal</t>
  </si>
  <si>
    <t>Min return</t>
  </si>
  <si>
    <t>IND</t>
  </si>
  <si>
    <t>Japan</t>
  </si>
  <si>
    <t>Avg returns (Short)</t>
  </si>
  <si>
    <t xml:space="preserve"> Avg return (long)</t>
  </si>
  <si>
    <t>LONG SHORT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</si>
</sst>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10" fontId="0" fillId="0" borderId="0" xfId="42" applyNumberFormat="1" applyFont="1"/>
    <xf numFmtId="0" fontId="19" fillId="0" borderId="0" xfId="0" applyFont="1"/>
    <xf numFmtId="10" fontId="19" fillId="0" borderId="0" xfId="0" applyNumberFormat="1" applyFont="1"/>
    <xf numFmtId="2" fontId="0" fillId="0" borderId="0" xfId="42" applyNumberFormat="1" applyFont="1"/>
    <xf numFmtId="10" fontId="18" fillId="33" borderId="0" xfId="42" applyNumberFormat="1" applyFont="1" applyFill="1"/>
    <xf numFmtId="10" fontId="18" fillId="33" borderId="0" xfId="0" applyNumberFormat="1" applyFont="1" applyFill="1"/>
    <xf numFmtId="0" fontId="18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chin chandan" id="{470E56C0-C9FA-CE49-B584-D6335C3E8FDF}" userId="3f73c33c9930b17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6-02-02T12:19:27.69" personId="{470E56C0-C9FA-CE49-B584-D6335C3E8FDF}" id="{9551E9B6-9C40-8F49-B0A2-84F80DA74943}">
    <text xml:space="preserve">since we are selling all the - would be profit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279B-5585-2E47-86B5-363B55301A3E}">
  <dimension ref="A1:O255"/>
  <sheetViews>
    <sheetView tabSelected="1" zoomScale="110" workbookViewId="0">
      <selection activeCell="G5" sqref="G5"/>
    </sheetView>
  </sheetViews>
  <sheetFormatPr baseColWidth="10" defaultRowHeight="16" x14ac:dyDescent="0.2"/>
  <cols>
    <col min="1" max="1" width="20" style="2" bestFit="1" customWidth="1"/>
    <col min="2" max="2" width="17.5" style="2" bestFit="1" customWidth="1"/>
    <col min="3" max="3" width="20.5" style="2" bestFit="1" customWidth="1"/>
    <col min="4" max="4" width="17.5" bestFit="1" customWidth="1"/>
    <col min="7" max="7" width="13.1640625" style="1" customWidth="1"/>
    <col min="8" max="8" width="10.83203125" style="1"/>
    <col min="9" max="9" width="9.33203125" style="1" customWidth="1"/>
    <col min="10" max="10" width="16.6640625" bestFit="1" customWidth="1"/>
    <col min="11" max="11" width="15" bestFit="1" customWidth="1"/>
    <col min="12" max="12" width="21" bestFit="1" customWidth="1"/>
  </cols>
  <sheetData>
    <row r="1" spans="1:15" x14ac:dyDescent="0.2">
      <c r="A1" s="6" t="s">
        <v>1</v>
      </c>
      <c r="B1" s="6" t="s">
        <v>0</v>
      </c>
      <c r="C1" s="6" t="s">
        <v>2</v>
      </c>
      <c r="D1" s="7" t="s">
        <v>10</v>
      </c>
      <c r="E1" s="7" t="s">
        <v>9</v>
      </c>
      <c r="F1" s="7" t="s">
        <v>6</v>
      </c>
      <c r="G1" s="7" t="s">
        <v>7</v>
      </c>
      <c r="H1" s="7" t="s">
        <v>4</v>
      </c>
      <c r="I1" s="7" t="s">
        <v>6</v>
      </c>
      <c r="J1" s="7" t="s">
        <v>13</v>
      </c>
      <c r="K1" s="8" t="s">
        <v>14</v>
      </c>
      <c r="L1" s="7" t="s">
        <v>15</v>
      </c>
      <c r="M1" s="8" t="s">
        <v>3</v>
      </c>
      <c r="N1" s="8" t="s">
        <v>8</v>
      </c>
      <c r="O1" s="8" t="s">
        <v>5</v>
      </c>
    </row>
    <row r="2" spans="1:15" x14ac:dyDescent="0.2">
      <c r="J2" s="2">
        <f>AVERAGE(F4:F253)</f>
        <v>-9.8156242282878507E-3</v>
      </c>
      <c r="K2" s="2">
        <f>AVERAGE(I2:I254)</f>
        <v>8.6011874930081462E-3</v>
      </c>
      <c r="L2" s="1">
        <f>K2+J2</f>
        <v>-1.2144367352797045E-3</v>
      </c>
      <c r="M2" s="2">
        <f>AVERAGE(B4:B254)</f>
        <v>7.9154032157906472E-3</v>
      </c>
      <c r="N2" s="2">
        <f>AVERAGE(A4:A254)</f>
        <v>1.173720861198543E-2</v>
      </c>
      <c r="O2" s="2">
        <f>AVERAGE(C4:C254)</f>
        <v>7.4526683654633922E-3</v>
      </c>
    </row>
    <row r="3" spans="1:15" x14ac:dyDescent="0.2">
      <c r="A3" s="2">
        <v>2.4088078902491494E-2</v>
      </c>
      <c r="B3" s="2">
        <v>1.890338364641439E-2</v>
      </c>
      <c r="C3" s="2">
        <v>3.0999535459214744E-2</v>
      </c>
      <c r="D3" s="1">
        <f t="shared" ref="D3:D34" si="0">MIN(A3:C3)</f>
        <v>1.890338364641439E-2</v>
      </c>
      <c r="E3" t="s">
        <v>3</v>
      </c>
      <c r="G3" s="1">
        <f t="shared" ref="G3:G66" si="1">MAX(A3:C3)</f>
        <v>3.0999535459214744E-2</v>
      </c>
      <c r="H3" s="1" t="str">
        <f>O1</f>
        <v>JAPAN</v>
      </c>
    </row>
    <row r="4" spans="1:15" x14ac:dyDescent="0.2">
      <c r="A4" s="2">
        <v>-3.2922938518229451E-2</v>
      </c>
      <c r="B4" s="2">
        <v>-1.9117647058823524E-2</v>
      </c>
      <c r="C4" s="2">
        <v>-6.1027545440607289E-3</v>
      </c>
      <c r="D4" s="1">
        <f t="shared" si="0"/>
        <v>-3.2922938518229451E-2</v>
      </c>
      <c r="E4" t="s">
        <v>11</v>
      </c>
      <c r="F4" s="1">
        <f>-B4</f>
        <v>1.9117647058823524E-2</v>
      </c>
      <c r="G4" s="1">
        <f t="shared" si="1"/>
        <v>-6.1027545440607289E-3</v>
      </c>
      <c r="H4" s="1" t="str">
        <f>O1</f>
        <v>JAPAN</v>
      </c>
      <c r="I4" s="1">
        <f>G4</f>
        <v>-6.1027545440607289E-3</v>
      </c>
    </row>
    <row r="5" spans="1:15" x14ac:dyDescent="0.2">
      <c r="A5" s="2">
        <v>-5.2116029706660606E-2</v>
      </c>
      <c r="B5" s="2">
        <v>-2.0108589772910163E-2</v>
      </c>
      <c r="C5" s="2">
        <v>-5.6564643776860879E-2</v>
      </c>
      <c r="D5" s="1">
        <f t="shared" si="0"/>
        <v>-5.6564643776860879E-2</v>
      </c>
      <c r="E5" t="s">
        <v>12</v>
      </c>
      <c r="F5" s="1">
        <f>-A5</f>
        <v>5.2116029706660606E-2</v>
      </c>
      <c r="G5" s="1">
        <f t="shared" si="1"/>
        <v>-2.0108589772910163E-2</v>
      </c>
      <c r="H5" s="1" t="str">
        <f>M1</f>
        <v>US</v>
      </c>
      <c r="I5" s="1">
        <f>C5</f>
        <v>-5.6564643776860879E-2</v>
      </c>
    </row>
    <row r="6" spans="1:15" x14ac:dyDescent="0.2">
      <c r="A6" s="2">
        <v>9.1100083841909277E-2</v>
      </c>
      <c r="B6" s="2">
        <v>2.9952024895189604E-2</v>
      </c>
      <c r="C6" s="2">
        <v>2.4315780868206627E-2</v>
      </c>
      <c r="D6" s="1">
        <f t="shared" si="0"/>
        <v>2.4315780868206627E-2</v>
      </c>
      <c r="E6" t="s">
        <v>12</v>
      </c>
      <c r="F6" s="1">
        <f>-D6</f>
        <v>-2.4315780868206627E-2</v>
      </c>
      <c r="G6" s="1">
        <f t="shared" si="1"/>
        <v>9.1100083841909277E-2</v>
      </c>
      <c r="H6" t="str">
        <f>N1</f>
        <v>INDIA</v>
      </c>
      <c r="I6" s="1">
        <f>B6</f>
        <v>2.9952024895189604E-2</v>
      </c>
    </row>
    <row r="7" spans="1:15" x14ac:dyDescent="0.2">
      <c r="A7" s="2">
        <v>7.1292949780420681E-2</v>
      </c>
      <c r="B7" s="2">
        <v>-1.4267729752419031E-4</v>
      </c>
      <c r="C7" s="2">
        <v>2.7261787472986132E-2</v>
      </c>
      <c r="D7" s="1">
        <f t="shared" si="0"/>
        <v>-1.4267729752419031E-4</v>
      </c>
      <c r="E7" t="s">
        <v>3</v>
      </c>
      <c r="F7" s="1">
        <f>-C7</f>
        <v>-2.7261787472986132E-2</v>
      </c>
      <c r="G7" s="1">
        <f t="shared" si="1"/>
        <v>7.1292949780420681E-2</v>
      </c>
      <c r="H7" t="str">
        <f>N1</f>
        <v>INDIA</v>
      </c>
      <c r="I7" s="1">
        <f>G7</f>
        <v>7.1292949780420681E-2</v>
      </c>
    </row>
    <row r="8" spans="1:15" x14ac:dyDescent="0.2">
      <c r="A8" s="2">
        <v>6.1381596780583372E-2</v>
      </c>
      <c r="B8" s="2">
        <v>3.5968203604375061E-2</v>
      </c>
      <c r="C8" s="2">
        <v>2.7243588360162052E-2</v>
      </c>
      <c r="D8" s="1">
        <f t="shared" si="0"/>
        <v>2.7243588360162052E-2</v>
      </c>
      <c r="E8" t="str">
        <f>E6</f>
        <v>Japan</v>
      </c>
      <c r="F8" s="1">
        <f>-B8</f>
        <v>-3.5968203604375061E-2</v>
      </c>
      <c r="G8" s="1">
        <f t="shared" si="1"/>
        <v>6.1381596780583372E-2</v>
      </c>
      <c r="H8" s="1" t="s">
        <v>8</v>
      </c>
      <c r="I8" s="1">
        <f>G8</f>
        <v>6.1381596780583372E-2</v>
      </c>
    </row>
    <row r="9" spans="1:15" x14ac:dyDescent="0.2">
      <c r="A9" s="2">
        <v>2.2265965722907215E-2</v>
      </c>
      <c r="B9" s="2">
        <v>-1.1222025960556917E-2</v>
      </c>
      <c r="C9" s="2">
        <v>4.3194729234596219E-2</v>
      </c>
      <c r="D9" s="1">
        <f t="shared" si="0"/>
        <v>-1.1222025960556917E-2</v>
      </c>
      <c r="E9" t="str">
        <f>E7</f>
        <v>US</v>
      </c>
      <c r="F9" s="1">
        <f>-C9</f>
        <v>-4.3194729234596219E-2</v>
      </c>
      <c r="G9" s="1">
        <f t="shared" si="1"/>
        <v>4.3194729234596219E-2</v>
      </c>
      <c r="H9" s="1" t="str">
        <f>H3</f>
        <v>JAPAN</v>
      </c>
      <c r="I9" s="1">
        <f>A9</f>
        <v>2.2265965722907215E-2</v>
      </c>
    </row>
    <row r="10" spans="1:15" x14ac:dyDescent="0.2">
      <c r="A10" s="2">
        <v>0.10621451989192129</v>
      </c>
      <c r="B10" s="2">
        <v>6.9489400408086488E-3</v>
      </c>
      <c r="C10" s="2">
        <v>9.3502287813366003E-2</v>
      </c>
      <c r="D10" s="1">
        <f t="shared" si="0"/>
        <v>6.9489400408086488E-3</v>
      </c>
      <c r="E10" t="s">
        <v>3</v>
      </c>
      <c r="F10" s="1">
        <f>-B10</f>
        <v>-6.9489400408086488E-3</v>
      </c>
      <c r="G10" s="1">
        <f t="shared" si="1"/>
        <v>0.10621451989192129</v>
      </c>
      <c r="H10" s="1" t="str">
        <f>H8</f>
        <v>INDIA</v>
      </c>
      <c r="I10" s="1">
        <f>C10</f>
        <v>9.3502287813366003E-2</v>
      </c>
    </row>
    <row r="11" spans="1:15" x14ac:dyDescent="0.2">
      <c r="A11" s="2">
        <v>-8.5953062604812322E-2</v>
      </c>
      <c r="B11" s="2">
        <v>-1.774074104214643E-2</v>
      </c>
      <c r="C11" s="2">
        <v>2.3721296862453389E-3</v>
      </c>
      <c r="D11" s="1">
        <f t="shared" si="0"/>
        <v>-8.5953062604812322E-2</v>
      </c>
      <c r="E11" t="s">
        <v>11</v>
      </c>
      <c r="F11" s="1">
        <f>-B11</f>
        <v>1.774074104214643E-2</v>
      </c>
      <c r="G11" s="1">
        <f t="shared" si="1"/>
        <v>2.3721296862453389E-3</v>
      </c>
      <c r="H11" s="1" t="str">
        <f>H9</f>
        <v>JAPAN</v>
      </c>
      <c r="I11" s="1">
        <f>A11</f>
        <v>-8.5953062604812322E-2</v>
      </c>
    </row>
    <row r="12" spans="1:15" x14ac:dyDescent="0.2">
      <c r="A12" s="2">
        <v>0.11359017373852046</v>
      </c>
      <c r="B12" s="2">
        <v>3.5186121076047447E-2</v>
      </c>
      <c r="C12" s="2">
        <v>9.3018042847168525E-2</v>
      </c>
      <c r="D12" s="1">
        <f t="shared" si="0"/>
        <v>3.5186121076047447E-2</v>
      </c>
      <c r="E12" t="s">
        <v>3</v>
      </c>
      <c r="F12" s="1">
        <f>-A12</f>
        <v>-0.11359017373852046</v>
      </c>
      <c r="G12" s="1">
        <f t="shared" si="1"/>
        <v>0.11359017373852046</v>
      </c>
      <c r="H12" s="1" t="str">
        <f>H10</f>
        <v>INDIA</v>
      </c>
      <c r="I12" s="1">
        <f>C12</f>
        <v>9.3018042847168525E-2</v>
      </c>
    </row>
    <row r="13" spans="1:15" x14ac:dyDescent="0.2">
      <c r="A13" s="2">
        <v>6.9306311093310799E-2</v>
      </c>
      <c r="B13" s="2">
        <v>-9.5239619681791992E-4</v>
      </c>
      <c r="C13" s="2">
        <v>8.3328234317163297E-2</v>
      </c>
      <c r="D13" s="1">
        <f t="shared" si="0"/>
        <v>-9.5239619681791992E-4</v>
      </c>
      <c r="E13" t="s">
        <v>3</v>
      </c>
      <c r="F13" s="1">
        <f>-D13</f>
        <v>9.5239619681791992E-4</v>
      </c>
      <c r="G13" s="1">
        <f t="shared" si="1"/>
        <v>8.3328234317163297E-2</v>
      </c>
      <c r="H13" s="1" t="str">
        <f>H11</f>
        <v>JAPAN</v>
      </c>
      <c r="I13" s="1">
        <f>A13</f>
        <v>6.9306311093310799E-2</v>
      </c>
    </row>
    <row r="14" spans="1:15" x14ac:dyDescent="0.2">
      <c r="A14" s="2">
        <v>5.5539890167302708E-2</v>
      </c>
      <c r="B14" s="2">
        <v>2.5466838635252998E-2</v>
      </c>
      <c r="C14" s="2">
        <v>3.3417290344364359E-2</v>
      </c>
      <c r="D14" s="1">
        <f t="shared" si="0"/>
        <v>2.5466838635252998E-2</v>
      </c>
      <c r="E14" t="s">
        <v>3</v>
      </c>
      <c r="F14" s="1">
        <f>-D14</f>
        <v>-2.5466838635252998E-2</v>
      </c>
      <c r="G14" s="1">
        <f t="shared" si="1"/>
        <v>5.5539890167302708E-2</v>
      </c>
      <c r="H14" s="1" t="str">
        <f>H12</f>
        <v>INDIA</v>
      </c>
      <c r="I14" s="1">
        <f>C14</f>
        <v>3.3417290344364359E-2</v>
      </c>
    </row>
    <row r="15" spans="1:15" x14ac:dyDescent="0.2">
      <c r="A15" s="2">
        <v>4.5398688896751915E-2</v>
      </c>
      <c r="B15" s="2">
        <v>4.5309668145752973E-4</v>
      </c>
      <c r="C15" s="2">
        <v>-2.6690979241817625E-2</v>
      </c>
      <c r="D15" s="1">
        <f t="shared" si="0"/>
        <v>-2.6690979241817625E-2</v>
      </c>
      <c r="E15" t="s">
        <v>12</v>
      </c>
      <c r="F15" s="1">
        <f>-B15</f>
        <v>-4.5309668145752973E-4</v>
      </c>
      <c r="G15" s="1">
        <f t="shared" si="1"/>
        <v>4.5398688896751915E-2</v>
      </c>
      <c r="H15" s="1" t="str">
        <f>H14</f>
        <v>INDIA</v>
      </c>
      <c r="I15" s="1">
        <f>A15</f>
        <v>4.5398688896751915E-2</v>
      </c>
    </row>
    <row r="16" spans="1:15" x14ac:dyDescent="0.2">
      <c r="A16" s="2">
        <v>8.7724102817292496E-2</v>
      </c>
      <c r="B16" s="2">
        <v>1.1095841206877554E-2</v>
      </c>
      <c r="C16" s="2">
        <v>5.2713228043457017E-2</v>
      </c>
      <c r="D16" s="1">
        <f t="shared" si="0"/>
        <v>1.1095841206877554E-2</v>
      </c>
      <c r="E16" t="s">
        <v>3</v>
      </c>
      <c r="F16" s="1">
        <f>-C16</f>
        <v>-5.2713228043457017E-2</v>
      </c>
      <c r="G16" s="1">
        <f t="shared" si="1"/>
        <v>8.7724102817292496E-2</v>
      </c>
      <c r="H16" s="1" t="str">
        <f>H15</f>
        <v>INDIA</v>
      </c>
      <c r="I16" s="1">
        <f>A16</f>
        <v>8.7724102817292496E-2</v>
      </c>
    </row>
    <row r="17" spans="1:9" x14ac:dyDescent="0.2">
      <c r="A17" s="2">
        <v>5.0706740094823136E-2</v>
      </c>
      <c r="B17" s="2">
        <v>1.2155660413786721E-2</v>
      </c>
      <c r="C17" s="2">
        <v>-8.9937314108252675E-3</v>
      </c>
      <c r="D17" s="1">
        <f t="shared" si="0"/>
        <v>-8.9937314108252675E-3</v>
      </c>
      <c r="E17" t="s">
        <v>12</v>
      </c>
      <c r="F17" s="1">
        <f>-B17</f>
        <v>-1.2155660413786721E-2</v>
      </c>
      <c r="G17" s="1">
        <f t="shared" si="1"/>
        <v>5.0706740094823136E-2</v>
      </c>
      <c r="H17" s="1" t="str">
        <f>H16</f>
        <v>INDIA</v>
      </c>
      <c r="I17" s="1">
        <f>G17</f>
        <v>5.0706740094823136E-2</v>
      </c>
    </row>
    <row r="18" spans="1:9" x14ac:dyDescent="0.2">
      <c r="A18" s="2">
        <v>-0.12262306645415554</v>
      </c>
      <c r="B18" s="2">
        <v>-3.0916901290238885E-2</v>
      </c>
      <c r="C18" s="2">
        <v>-8.5110636729773592E-2</v>
      </c>
      <c r="D18" s="1">
        <f t="shared" si="0"/>
        <v>-0.12262306645415554</v>
      </c>
      <c r="E18" t="s">
        <v>11</v>
      </c>
      <c r="F18" s="1">
        <f>-C18</f>
        <v>8.5110636729773592E-2</v>
      </c>
      <c r="G18" s="1">
        <f t="shared" si="1"/>
        <v>-3.0916901290238885E-2</v>
      </c>
      <c r="H18" s="1" t="str">
        <f>H5</f>
        <v>US</v>
      </c>
      <c r="I18" s="1">
        <f>A18</f>
        <v>-0.12262306645415554</v>
      </c>
    </row>
    <row r="19" spans="1:9" x14ac:dyDescent="0.2">
      <c r="A19" s="2">
        <v>2.0256553520133884E-2</v>
      </c>
      <c r="B19" s="2">
        <v>8.6608035651117117E-5</v>
      </c>
      <c r="C19" s="2">
        <v>2.4464468010962914E-3</v>
      </c>
      <c r="D19" s="1">
        <f t="shared" si="0"/>
        <v>8.6608035651117117E-5</v>
      </c>
      <c r="E19" t="s">
        <v>3</v>
      </c>
      <c r="F19" s="1">
        <f>-A19</f>
        <v>-2.0256553520133884E-2</v>
      </c>
      <c r="G19" s="1">
        <f t="shared" si="1"/>
        <v>2.0256553520133884E-2</v>
      </c>
      <c r="H19" s="1" t="str">
        <f>H17</f>
        <v>INDIA</v>
      </c>
      <c r="I19" s="1">
        <f>B19</f>
        <v>8.6608035651117117E-5</v>
      </c>
    </row>
    <row r="20" spans="1:9" x14ac:dyDescent="0.2">
      <c r="A20" s="2">
        <v>1.2689869689186247E-2</v>
      </c>
      <c r="B20" s="2">
        <v>5.0858132577547123E-3</v>
      </c>
      <c r="C20" s="2">
        <v>-3.1196046222002893E-3</v>
      </c>
      <c r="D20" s="1">
        <f t="shared" si="0"/>
        <v>-3.1196046222002893E-3</v>
      </c>
      <c r="E20" t="s">
        <v>12</v>
      </c>
      <c r="F20" s="1">
        <f>-B20</f>
        <v>-5.0858132577547123E-3</v>
      </c>
      <c r="G20" s="1">
        <f t="shared" si="1"/>
        <v>1.2689869689186247E-2</v>
      </c>
      <c r="H20" s="1" t="str">
        <f>H19</f>
        <v>INDIA</v>
      </c>
      <c r="I20" s="1">
        <f>A20</f>
        <v>1.2689869689186247E-2</v>
      </c>
    </row>
    <row r="21" spans="1:9" x14ac:dyDescent="0.2">
      <c r="A21" s="2">
        <v>8.8903636302713751E-2</v>
      </c>
      <c r="B21" s="2">
        <v>2.1274262528785937E-2</v>
      </c>
      <c r="C21" s="2">
        <v>4.4249133067646662E-2</v>
      </c>
      <c r="D21" s="1">
        <f t="shared" si="0"/>
        <v>2.1274262528785937E-2</v>
      </c>
      <c r="E21" t="s">
        <v>3</v>
      </c>
      <c r="F21" s="1">
        <f>-C21</f>
        <v>-4.4249133067646662E-2</v>
      </c>
      <c r="G21" s="1">
        <f t="shared" si="1"/>
        <v>8.8903636302713751E-2</v>
      </c>
      <c r="H21" s="1" t="str">
        <f>H20</f>
        <v>INDIA</v>
      </c>
      <c r="I21" s="1">
        <f>G21</f>
        <v>8.8903636302713751E-2</v>
      </c>
    </row>
    <row r="22" spans="1:9" x14ac:dyDescent="0.2">
      <c r="A22" s="2">
        <v>6.4566781063419745E-2</v>
      </c>
      <c r="B22" s="2">
        <v>2.4566274485741876E-2</v>
      </c>
      <c r="C22" s="2">
        <v>-8.1594721434874451E-4</v>
      </c>
      <c r="D22" s="1">
        <f t="shared" si="0"/>
        <v>-8.1594721434874451E-4</v>
      </c>
      <c r="E22" t="s">
        <v>12</v>
      </c>
      <c r="F22" s="1">
        <f>-B22</f>
        <v>-2.4566274485741876E-2</v>
      </c>
      <c r="G22" s="1">
        <f t="shared" si="1"/>
        <v>6.4566781063419745E-2</v>
      </c>
      <c r="H22" s="1" t="str">
        <f>H21</f>
        <v>INDIA</v>
      </c>
      <c r="I22" s="1">
        <f>G22</f>
        <v>6.4566781063419745E-2</v>
      </c>
    </row>
    <row r="23" spans="1:9" x14ac:dyDescent="0.2">
      <c r="A23" s="2">
        <v>4.0746979787095627E-2</v>
      </c>
      <c r="B23" s="2">
        <v>3.1508028596025112E-2</v>
      </c>
      <c r="C23" s="2">
        <v>1.6853737510525324E-2</v>
      </c>
      <c r="D23" s="1">
        <f t="shared" si="0"/>
        <v>1.6853737510525324E-2</v>
      </c>
      <c r="E23" t="s">
        <v>12</v>
      </c>
      <c r="F23" s="1">
        <f>-C23</f>
        <v>-1.6853737510525324E-2</v>
      </c>
      <c r="G23" s="1">
        <f t="shared" si="1"/>
        <v>4.0746979787095627E-2</v>
      </c>
      <c r="H23" s="1" t="str">
        <f>H22</f>
        <v>INDIA</v>
      </c>
      <c r="I23" s="1">
        <f t="shared" ref="I23:I24" si="2">G23</f>
        <v>4.0746979787095627E-2</v>
      </c>
    </row>
    <row r="24" spans="1:9" x14ac:dyDescent="0.2">
      <c r="A24" s="2">
        <v>5.6658360271256501E-2</v>
      </c>
      <c r="B24" s="2">
        <v>1.6466609576614406E-2</v>
      </c>
      <c r="C24" s="2">
        <v>-7.6258934021325997E-3</v>
      </c>
      <c r="D24" s="1">
        <f t="shared" si="0"/>
        <v>-7.6258934021325997E-3</v>
      </c>
      <c r="E24" t="s">
        <v>12</v>
      </c>
      <c r="F24" s="1">
        <f>-C24</f>
        <v>7.6258934021325997E-3</v>
      </c>
      <c r="G24" s="1">
        <f t="shared" si="1"/>
        <v>5.6658360271256501E-2</v>
      </c>
      <c r="H24" s="1" t="s">
        <v>8</v>
      </c>
      <c r="I24" s="1">
        <f t="shared" si="2"/>
        <v>5.6658360271256501E-2</v>
      </c>
    </row>
    <row r="25" spans="1:9" x14ac:dyDescent="0.2">
      <c r="A25" s="2">
        <v>6.61565532297048E-3</v>
      </c>
      <c r="B25" s="2">
        <v>1.2615751483260993E-2</v>
      </c>
      <c r="C25" s="2">
        <v>5.8466308597650452E-2</v>
      </c>
      <c r="D25" s="1">
        <f t="shared" si="0"/>
        <v>6.61565532297048E-3</v>
      </c>
      <c r="E25" t="s">
        <v>11</v>
      </c>
      <c r="F25" s="1">
        <f>-C25</f>
        <v>-5.8466308597650452E-2</v>
      </c>
      <c r="G25" s="1">
        <f t="shared" si="1"/>
        <v>5.8466308597650452E-2</v>
      </c>
      <c r="H25" s="1" t="str">
        <f>H13</f>
        <v>JAPAN</v>
      </c>
      <c r="I25" s="1">
        <f>A25</f>
        <v>6.61565532297048E-3</v>
      </c>
    </row>
    <row r="26" spans="1:9" x14ac:dyDescent="0.2">
      <c r="A26" s="2">
        <v>2.2049900956777117E-2</v>
      </c>
      <c r="B26" s="2">
        <v>1.4059084819854795E-2</v>
      </c>
      <c r="C26" s="2">
        <v>9.1478901161801129E-3</v>
      </c>
      <c r="D26" s="1">
        <f t="shared" si="0"/>
        <v>9.1478901161801129E-3</v>
      </c>
      <c r="E26" t="s">
        <v>12</v>
      </c>
      <c r="F26" s="1">
        <f>-A26</f>
        <v>-2.2049900956777117E-2</v>
      </c>
      <c r="G26" s="1">
        <f t="shared" si="1"/>
        <v>2.2049900956777117E-2</v>
      </c>
      <c r="H26" s="1" t="str">
        <f>H24</f>
        <v>INDIA</v>
      </c>
      <c r="I26" s="1">
        <f>C26</f>
        <v>9.1478901161801129E-3</v>
      </c>
    </row>
    <row r="27" spans="1:9" x14ac:dyDescent="0.2">
      <c r="A27" s="2">
        <v>-8.1813736657178282E-2</v>
      </c>
      <c r="B27" s="2">
        <v>-2.1846145288686222E-2</v>
      </c>
      <c r="C27" s="2">
        <v>1.2696013037718279E-2</v>
      </c>
      <c r="D27" s="1">
        <f t="shared" si="0"/>
        <v>-8.1813736657178282E-2</v>
      </c>
      <c r="E27" t="s">
        <v>11</v>
      </c>
      <c r="F27" s="1">
        <f>-C27</f>
        <v>-1.2696013037718279E-2</v>
      </c>
      <c r="G27" s="1">
        <f t="shared" si="1"/>
        <v>1.2696013037718279E-2</v>
      </c>
      <c r="H27" s="1" t="str">
        <f>H25</f>
        <v>JAPAN</v>
      </c>
      <c r="I27" s="1">
        <f>A27</f>
        <v>-8.1813736657178282E-2</v>
      </c>
    </row>
    <row r="28" spans="1:9" x14ac:dyDescent="0.2">
      <c r="A28" s="2">
        <v>1.0357796520040085E-2</v>
      </c>
      <c r="B28" s="2">
        <v>9.9799547916577559E-3</v>
      </c>
      <c r="C28" s="2">
        <v>-1.7976483900634554E-2</v>
      </c>
      <c r="D28" s="1">
        <f t="shared" si="0"/>
        <v>-1.7976483900634554E-2</v>
      </c>
      <c r="E28" t="s">
        <v>12</v>
      </c>
      <c r="F28" s="1">
        <f>-A28</f>
        <v>-1.0357796520040085E-2</v>
      </c>
      <c r="G28" s="1">
        <f t="shared" si="1"/>
        <v>1.0357796520040085E-2</v>
      </c>
      <c r="H28" s="1" t="str">
        <f>H26</f>
        <v>INDIA</v>
      </c>
      <c r="I28" s="1">
        <f>C28</f>
        <v>-1.7976483900634554E-2</v>
      </c>
    </row>
    <row r="29" spans="1:9" x14ac:dyDescent="0.2">
      <c r="A29" s="2">
        <v>6.1220508732727566E-2</v>
      </c>
      <c r="B29" s="2">
        <v>4.3290683107413817E-2</v>
      </c>
      <c r="C29" s="2">
        <v>6.5225753644941875E-3</v>
      </c>
      <c r="D29" s="1">
        <f t="shared" si="0"/>
        <v>6.5225753644941875E-3</v>
      </c>
      <c r="E29" t="s">
        <v>12</v>
      </c>
      <c r="F29" s="1">
        <f>-C29</f>
        <v>-6.5225753644941875E-3</v>
      </c>
      <c r="G29" s="1">
        <f t="shared" si="1"/>
        <v>6.1220508732727566E-2</v>
      </c>
      <c r="H29" s="1" t="str">
        <f>H28</f>
        <v>INDIA</v>
      </c>
      <c r="I29" s="1">
        <f>G29</f>
        <v>6.1220508732727566E-2</v>
      </c>
    </row>
    <row r="30" spans="1:9" x14ac:dyDescent="0.2">
      <c r="A30" s="2">
        <v>4.8448102234873947E-2</v>
      </c>
      <c r="B30" s="2">
        <v>3.2549228600147063E-2</v>
      </c>
      <c r="C30" s="2">
        <v>2.7317747110556567E-2</v>
      </c>
      <c r="D30" s="1">
        <f t="shared" si="0"/>
        <v>2.7317747110556567E-2</v>
      </c>
      <c r="E30" t="s">
        <v>12</v>
      </c>
      <c r="F30" s="1">
        <f>-C30</f>
        <v>-2.7317747110556567E-2</v>
      </c>
      <c r="G30" s="1">
        <f t="shared" si="1"/>
        <v>4.8448102234873947E-2</v>
      </c>
      <c r="H30" s="1" t="str">
        <f>H29</f>
        <v>INDIA</v>
      </c>
      <c r="I30" s="1">
        <f>G30</f>
        <v>4.8448102234873947E-2</v>
      </c>
    </row>
    <row r="31" spans="1:9" x14ac:dyDescent="0.2">
      <c r="A31" s="2">
        <v>7.2907485049290852E-3</v>
      </c>
      <c r="B31" s="2">
        <v>-1.7816309730697352E-2</v>
      </c>
      <c r="C31" s="2">
        <v>1.4690292714991005E-2</v>
      </c>
      <c r="D31" s="1">
        <f t="shared" si="0"/>
        <v>-1.7816309730697352E-2</v>
      </c>
      <c r="E31" t="s">
        <v>3</v>
      </c>
      <c r="F31" s="1">
        <f t="shared" ref="F31" si="3">-C31</f>
        <v>-1.4690292714991005E-2</v>
      </c>
      <c r="G31" s="1">
        <f t="shared" si="1"/>
        <v>1.4690292714991005E-2</v>
      </c>
      <c r="H31" s="1" t="str">
        <f>H27</f>
        <v>JAPAN</v>
      </c>
      <c r="I31" s="1">
        <f>A31</f>
        <v>7.2907485049290852E-3</v>
      </c>
    </row>
    <row r="32" spans="1:9" x14ac:dyDescent="0.2">
      <c r="A32" s="2">
        <v>6.1464796423330248E-2</v>
      </c>
      <c r="B32" s="2">
        <v>-3.1981907074200906E-2</v>
      </c>
      <c r="C32" s="2">
        <v>-4.9037536490364242E-2</v>
      </c>
      <c r="D32" s="1">
        <f t="shared" si="0"/>
        <v>-4.9037536490364242E-2</v>
      </c>
      <c r="E32" t="s">
        <v>12</v>
      </c>
      <c r="F32" s="1">
        <f>-B32</f>
        <v>3.1981907074200906E-2</v>
      </c>
      <c r="G32" s="1">
        <f t="shared" si="1"/>
        <v>6.1464796423330248E-2</v>
      </c>
      <c r="H32" s="1" t="str">
        <f>H30</f>
        <v>INDIA</v>
      </c>
      <c r="I32" s="1">
        <f>C32</f>
        <v>-4.9037536490364242E-2</v>
      </c>
    </row>
    <row r="33" spans="1:9" x14ac:dyDescent="0.2">
      <c r="A33" s="2">
        <v>-1.4944386177343026E-2</v>
      </c>
      <c r="B33" s="2">
        <v>1.2863592323074088E-2</v>
      </c>
      <c r="C33" s="2">
        <v>-3.9411811426706134E-2</v>
      </c>
      <c r="D33" s="1">
        <f t="shared" si="0"/>
        <v>-3.9411811426706134E-2</v>
      </c>
      <c r="E33" t="s">
        <v>12</v>
      </c>
      <c r="F33" s="1">
        <f>-C33</f>
        <v>3.9411811426706134E-2</v>
      </c>
      <c r="G33" s="1">
        <f t="shared" si="1"/>
        <v>1.2863592323074088E-2</v>
      </c>
      <c r="H33" s="1" t="s">
        <v>3</v>
      </c>
      <c r="I33" s="1">
        <f>A33</f>
        <v>-1.4944386177343026E-2</v>
      </c>
    </row>
    <row r="34" spans="1:9" x14ac:dyDescent="0.2">
      <c r="A34" s="2">
        <v>0.12876511480495267</v>
      </c>
      <c r="B34" s="2">
        <v>3.5794001316155462E-2</v>
      </c>
      <c r="C34" s="2">
        <v>1.3072542349967353E-2</v>
      </c>
      <c r="D34" s="1">
        <f t="shared" si="0"/>
        <v>1.3072542349967353E-2</v>
      </c>
      <c r="E34" t="s">
        <v>12</v>
      </c>
      <c r="F34" s="1">
        <f t="shared" ref="F34:F38" si="4">-C34</f>
        <v>-1.3072542349967353E-2</v>
      </c>
      <c r="G34" s="1">
        <f t="shared" si="1"/>
        <v>0.12876511480495267</v>
      </c>
      <c r="H34" s="1" t="s">
        <v>8</v>
      </c>
      <c r="I34" s="1">
        <f>B34</f>
        <v>3.5794001316155462E-2</v>
      </c>
    </row>
    <row r="35" spans="1:9" x14ac:dyDescent="0.2">
      <c r="A35" s="2">
        <v>0.14729551462631918</v>
      </c>
      <c r="B35" s="2">
        <v>1.4822335025380782E-2</v>
      </c>
      <c r="C35" s="2">
        <v>-2.8625590384183663E-3</v>
      </c>
      <c r="D35" s="1">
        <f t="shared" ref="D35:D66" si="5">MIN(A35:C35)</f>
        <v>-2.8625590384183663E-3</v>
      </c>
      <c r="E35" t="s">
        <v>12</v>
      </c>
      <c r="F35" s="1">
        <f t="shared" si="4"/>
        <v>2.8625590384183663E-3</v>
      </c>
      <c r="G35" s="1">
        <f t="shared" si="1"/>
        <v>0.14729551462631918</v>
      </c>
      <c r="H35" s="1" t="s">
        <v>8</v>
      </c>
      <c r="I35" s="1">
        <f>G35</f>
        <v>0.14729551462631918</v>
      </c>
    </row>
    <row r="36" spans="1:9" x14ac:dyDescent="0.2">
      <c r="A36" s="2">
        <v>-2.3934380448825777E-2</v>
      </c>
      <c r="B36" s="2">
        <v>-4.4043423821141361E-2</v>
      </c>
      <c r="C36" s="2">
        <v>-6.3149322813325526E-2</v>
      </c>
      <c r="D36" s="1">
        <f t="shared" si="5"/>
        <v>-6.3149322813325526E-2</v>
      </c>
      <c r="E36" t="s">
        <v>12</v>
      </c>
      <c r="F36" s="1">
        <f t="shared" si="4"/>
        <v>6.3149322813325526E-2</v>
      </c>
      <c r="G36" s="1">
        <f t="shared" si="1"/>
        <v>-2.3934380448825777E-2</v>
      </c>
      <c r="H36" s="1" t="str">
        <f>H35</f>
        <v>INDIA</v>
      </c>
      <c r="I36" s="1">
        <f>A36</f>
        <v>-2.3934380448825777E-2</v>
      </c>
    </row>
    <row r="37" spans="1:9" x14ac:dyDescent="0.2">
      <c r="A37" s="2">
        <v>4.770962207653915E-2</v>
      </c>
      <c r="B37" s="2">
        <v>-8.6284888666839053E-3</v>
      </c>
      <c r="C37" s="2">
        <v>-2.3779611317380711E-2</v>
      </c>
      <c r="D37" s="1">
        <f t="shared" si="5"/>
        <v>-2.3779611317380711E-2</v>
      </c>
      <c r="E37" t="s">
        <v>12</v>
      </c>
      <c r="F37" s="1">
        <f t="shared" si="4"/>
        <v>2.3779611317380711E-2</v>
      </c>
      <c r="G37" s="1">
        <f t="shared" si="1"/>
        <v>4.770962207653915E-2</v>
      </c>
      <c r="H37" s="1" t="str">
        <f>H36</f>
        <v>INDIA</v>
      </c>
      <c r="I37" s="1">
        <f>G37</f>
        <v>4.770962207653915E-2</v>
      </c>
    </row>
    <row r="38" spans="1:9" x14ac:dyDescent="0.2">
      <c r="A38" s="2">
        <v>-0.13004787797499789</v>
      </c>
      <c r="B38" s="2">
        <v>-6.1163474897164151E-2</v>
      </c>
      <c r="C38" s="2">
        <v>-0.11205543847638266</v>
      </c>
      <c r="D38" s="1">
        <f t="shared" si="5"/>
        <v>-0.13004787797499789</v>
      </c>
      <c r="E38" t="s">
        <v>11</v>
      </c>
      <c r="F38" s="1">
        <f t="shared" si="4"/>
        <v>0.11205543847638266</v>
      </c>
      <c r="G38" s="1">
        <f t="shared" si="1"/>
        <v>-6.1163474897164151E-2</v>
      </c>
      <c r="H38" s="1" t="s">
        <v>3</v>
      </c>
      <c r="I38" s="1">
        <f>A38</f>
        <v>-0.13004787797499789</v>
      </c>
    </row>
    <row r="39" spans="1:9" x14ac:dyDescent="0.2">
      <c r="A39" s="2">
        <v>-3.9657289399620691E-3</v>
      </c>
      <c r="B39" s="2">
        <v>-3.4761162090602336E-2</v>
      </c>
      <c r="C39" s="2">
        <v>7.761656094629199E-4</v>
      </c>
      <c r="D39" s="1">
        <f t="shared" si="5"/>
        <v>-3.4761162090602336E-2</v>
      </c>
      <c r="E39" t="s">
        <v>3</v>
      </c>
      <c r="F39" s="1">
        <f>-A39</f>
        <v>3.9657289399620691E-3</v>
      </c>
      <c r="G39" s="1">
        <f t="shared" si="1"/>
        <v>7.761656094629199E-4</v>
      </c>
      <c r="H39" s="1" t="s">
        <v>5</v>
      </c>
      <c r="I39" s="1">
        <f>B39</f>
        <v>-3.4761162090602336E-2</v>
      </c>
    </row>
    <row r="40" spans="1:9" x14ac:dyDescent="0.2">
      <c r="A40" s="2">
        <v>-0.1100353154268343</v>
      </c>
      <c r="B40" s="2">
        <v>-5.9595830546433368E-3</v>
      </c>
      <c r="C40" s="2">
        <v>-7.9208204654705017E-2</v>
      </c>
      <c r="D40" s="1">
        <f t="shared" si="5"/>
        <v>-0.1100353154268343</v>
      </c>
      <c r="E40" t="s">
        <v>11</v>
      </c>
      <c r="F40" s="1">
        <f>-B40</f>
        <v>5.9595830546433368E-3</v>
      </c>
      <c r="G40" s="1">
        <f t="shared" si="1"/>
        <v>-5.9595830546433368E-3</v>
      </c>
      <c r="H40" s="1" t="str">
        <f>H38</f>
        <v>US</v>
      </c>
      <c r="I40" s="1">
        <f>C40</f>
        <v>-7.9208204654705017E-2</v>
      </c>
    </row>
    <row r="41" spans="1:9" x14ac:dyDescent="0.2">
      <c r="A41" s="2">
        <v>0.10501302699233726</v>
      </c>
      <c r="B41" s="2">
        <v>4.7546684811370581E-2</v>
      </c>
      <c r="C41" s="2">
        <v>0.10573995212980836</v>
      </c>
      <c r="D41" s="1">
        <f t="shared" si="5"/>
        <v>4.7546684811370581E-2</v>
      </c>
      <c r="E41" t="s">
        <v>3</v>
      </c>
      <c r="F41" s="1">
        <f>-A41</f>
        <v>-0.10501302699233726</v>
      </c>
      <c r="G41" s="1">
        <f t="shared" si="1"/>
        <v>0.10573995212980836</v>
      </c>
      <c r="H41" s="1" t="str">
        <f>H39</f>
        <v>JAPAN</v>
      </c>
      <c r="I41" s="1">
        <f>B41</f>
        <v>4.7546684811370581E-2</v>
      </c>
    </row>
    <row r="42" spans="1:9" x14ac:dyDescent="0.2">
      <c r="A42" s="2">
        <v>-5.04265845871915E-2</v>
      </c>
      <c r="B42" s="2">
        <v>1.067415324879668E-2</v>
      </c>
      <c r="C42" s="2">
        <v>3.5274393699923356E-2</v>
      </c>
      <c r="D42" s="1">
        <f t="shared" si="5"/>
        <v>-5.04265845871915E-2</v>
      </c>
      <c r="E42" t="s">
        <v>11</v>
      </c>
      <c r="F42" s="1">
        <f>-B42</f>
        <v>-1.067415324879668E-2</v>
      </c>
      <c r="G42" s="1">
        <f t="shared" si="1"/>
        <v>3.5274393699923356E-2</v>
      </c>
      <c r="H42" s="1" t="str">
        <f>H41</f>
        <v>JAPAN</v>
      </c>
      <c r="I42" s="1">
        <f>G42</f>
        <v>3.5274393699923356E-2</v>
      </c>
    </row>
    <row r="43" spans="1:9" x14ac:dyDescent="0.2">
      <c r="A43" s="2">
        <v>-0.17995049821602294</v>
      </c>
      <c r="B43" s="2">
        <v>-8.5962381639269406E-2</v>
      </c>
      <c r="C43" s="2">
        <v>-5.9780842400969703E-2</v>
      </c>
      <c r="D43" s="1">
        <f t="shared" si="5"/>
        <v>-0.17995049821602294</v>
      </c>
      <c r="E43" t="s">
        <v>11</v>
      </c>
      <c r="F43" s="1">
        <f>-A43</f>
        <v>0.17995049821602294</v>
      </c>
      <c r="G43" s="1">
        <f t="shared" si="1"/>
        <v>-5.9780842400969703E-2</v>
      </c>
      <c r="H43" s="1" t="str">
        <f>H42</f>
        <v>JAPAN</v>
      </c>
      <c r="I43" s="1">
        <f>G43</f>
        <v>-5.9780842400969703E-2</v>
      </c>
    </row>
    <row r="44" spans="1:9" x14ac:dyDescent="0.2">
      <c r="A44" s="2">
        <v>6.6423852177827578E-2</v>
      </c>
      <c r="B44" s="2">
        <v>-9.8593749999999151E-3</v>
      </c>
      <c r="C44" s="2">
        <v>-7.7566300754301487E-3</v>
      </c>
      <c r="D44" s="1">
        <f t="shared" si="5"/>
        <v>-9.8593749999999151E-3</v>
      </c>
      <c r="E44" t="s">
        <v>3</v>
      </c>
      <c r="F44" s="1">
        <f>-A44</f>
        <v>-6.6423852177827578E-2</v>
      </c>
      <c r="G44" s="1">
        <f t="shared" si="1"/>
        <v>6.6423852177827578E-2</v>
      </c>
      <c r="H44" s="1" t="str">
        <f>H36</f>
        <v>INDIA</v>
      </c>
      <c r="I44" s="1">
        <f>C44</f>
        <v>-7.7566300754301487E-3</v>
      </c>
    </row>
    <row r="45" spans="1:9" x14ac:dyDescent="0.2">
      <c r="A45" s="2">
        <v>1.4543301464569992E-2</v>
      </c>
      <c r="B45" s="2">
        <v>1.2190503242910426E-2</v>
      </c>
      <c r="C45" s="2">
        <v>-2.2720680581304831E-2</v>
      </c>
      <c r="D45" s="1">
        <f t="shared" si="5"/>
        <v>-2.2720680581304831E-2</v>
      </c>
      <c r="E45" t="s">
        <v>12</v>
      </c>
      <c r="F45" s="1">
        <f>-B45</f>
        <v>-1.2190503242910426E-2</v>
      </c>
      <c r="G45" s="1">
        <f t="shared" si="1"/>
        <v>1.4543301464569992E-2</v>
      </c>
      <c r="H45" s="1" t="str">
        <f>H44</f>
        <v>INDIA</v>
      </c>
      <c r="I45" s="1">
        <f>G45</f>
        <v>1.4543301464569992E-2</v>
      </c>
    </row>
    <row r="46" spans="1:9" x14ac:dyDescent="0.2">
      <c r="A46" s="2">
        <v>-0.11700343231123835</v>
      </c>
      <c r="B46" s="2">
        <v>-9.0791453271283046E-2</v>
      </c>
      <c r="C46" s="2">
        <v>-0.1386849253453909</v>
      </c>
      <c r="D46" s="1">
        <f t="shared" si="5"/>
        <v>-0.1386849253453909</v>
      </c>
      <c r="E46" t="s">
        <v>12</v>
      </c>
      <c r="F46" s="1">
        <f>-C46</f>
        <v>0.1386849253453909</v>
      </c>
      <c r="G46" s="1">
        <f t="shared" si="1"/>
        <v>-9.0791453271283046E-2</v>
      </c>
      <c r="H46" s="1" t="str">
        <f>H40</f>
        <v>US</v>
      </c>
      <c r="I46" s="1">
        <f>A46</f>
        <v>-0.11700343231123835</v>
      </c>
    </row>
    <row r="47" spans="1:9" x14ac:dyDescent="0.2">
      <c r="A47" s="2">
        <v>-0.23890103208057589</v>
      </c>
      <c r="B47" s="2">
        <v>-0.16942453444905511</v>
      </c>
      <c r="C47" s="2">
        <v>-0.23826939233702737</v>
      </c>
      <c r="D47" s="1">
        <f t="shared" si="5"/>
        <v>-0.23890103208057589</v>
      </c>
      <c r="E47" t="s">
        <v>12</v>
      </c>
      <c r="F47" s="1">
        <f t="shared" ref="F47:F48" si="6">-C47</f>
        <v>0.23826939233702737</v>
      </c>
      <c r="G47" s="1">
        <f t="shared" si="1"/>
        <v>-0.16942453444905511</v>
      </c>
      <c r="H47" s="1" t="str">
        <f>H46</f>
        <v>US</v>
      </c>
      <c r="I47" s="1">
        <f>B47</f>
        <v>-0.16942453444905511</v>
      </c>
    </row>
    <row r="48" spans="1:9" x14ac:dyDescent="0.2">
      <c r="A48" s="2">
        <v>-7.1039613570002658E-2</v>
      </c>
      <c r="B48" s="2">
        <v>-7.484903225806451E-2</v>
      </c>
      <c r="C48" s="2">
        <v>-7.5446136052549351E-3</v>
      </c>
      <c r="D48" s="1">
        <f t="shared" si="5"/>
        <v>-7.484903225806451E-2</v>
      </c>
      <c r="E48" t="s">
        <v>3</v>
      </c>
      <c r="F48" s="1">
        <f t="shared" si="6"/>
        <v>7.5446136052549351E-3</v>
      </c>
      <c r="G48" s="1">
        <f t="shared" si="1"/>
        <v>-7.5446136052549351E-3</v>
      </c>
      <c r="H48" s="1" t="str">
        <f>H43</f>
        <v>JAPAN</v>
      </c>
      <c r="I48" s="1">
        <f>B48</f>
        <v>-7.484903225806451E-2</v>
      </c>
    </row>
    <row r="49" spans="1:9" x14ac:dyDescent="0.2">
      <c r="A49" s="2">
        <v>6.0992750244151385E-2</v>
      </c>
      <c r="B49" s="2">
        <v>7.8215656520574748E-3</v>
      </c>
      <c r="C49" s="2">
        <v>4.0798752859108056E-2</v>
      </c>
      <c r="D49" s="1">
        <f t="shared" si="5"/>
        <v>7.8215656520574748E-3</v>
      </c>
      <c r="E49" t="s">
        <v>3</v>
      </c>
      <c r="F49" s="1">
        <f>-B49</f>
        <v>-7.8215656520574748E-3</v>
      </c>
      <c r="G49" s="1">
        <f t="shared" si="1"/>
        <v>6.0992750244151385E-2</v>
      </c>
      <c r="H49" s="1" t="str">
        <f>H45</f>
        <v>INDIA</v>
      </c>
      <c r="I49" s="1">
        <f>C49</f>
        <v>4.0798752859108056E-2</v>
      </c>
    </row>
    <row r="50" spans="1:9" x14ac:dyDescent="0.2">
      <c r="A50" s="2">
        <v>-2.312250772495128E-2</v>
      </c>
      <c r="B50" s="2">
        <v>-8.5657348463880442E-2</v>
      </c>
      <c r="C50" s="2">
        <v>-9.7692210448374284E-2</v>
      </c>
      <c r="D50" s="1">
        <f t="shared" si="5"/>
        <v>-9.7692210448374284E-2</v>
      </c>
      <c r="E50" t="s">
        <v>12</v>
      </c>
      <c r="F50" s="1">
        <f>-B50</f>
        <v>8.5657348463880442E-2</v>
      </c>
      <c r="G50" s="1">
        <f t="shared" si="1"/>
        <v>-2.312250772495128E-2</v>
      </c>
      <c r="H50" s="1" t="str">
        <f>H49</f>
        <v>INDIA</v>
      </c>
      <c r="I50" s="1">
        <f>G50</f>
        <v>-2.312250772495128E-2</v>
      </c>
    </row>
    <row r="51" spans="1:9" x14ac:dyDescent="0.2">
      <c r="A51" s="2">
        <v>-5.6517024184443439E-2</v>
      </c>
      <c r="B51" s="2">
        <v>-0.10993122487528451</v>
      </c>
      <c r="C51" s="2">
        <v>-5.3243349741370127E-2</v>
      </c>
      <c r="D51" s="1">
        <f t="shared" si="5"/>
        <v>-0.10993122487528451</v>
      </c>
      <c r="E51" t="s">
        <v>3</v>
      </c>
      <c r="F51" s="1">
        <f>-C51</f>
        <v>5.3243349741370127E-2</v>
      </c>
      <c r="G51" s="1">
        <f t="shared" si="1"/>
        <v>-5.3243349741370127E-2</v>
      </c>
      <c r="H51" s="1" t="str">
        <f>H48</f>
        <v>JAPAN</v>
      </c>
      <c r="I51" s="1">
        <f>A51</f>
        <v>-5.6517024184443439E-2</v>
      </c>
    </row>
    <row r="52" spans="1:9" x14ac:dyDescent="0.2">
      <c r="A52" s="2">
        <v>9.1872000683790603E-2</v>
      </c>
      <c r="B52" s="2">
        <v>8.5404508291501674E-2</v>
      </c>
      <c r="C52" s="2">
        <v>7.1495767940996879E-2</v>
      </c>
      <c r="D52" s="1">
        <f t="shared" si="5"/>
        <v>7.1495767940996879E-2</v>
      </c>
      <c r="E52" t="s">
        <v>12</v>
      </c>
      <c r="F52" s="1">
        <f>-B52</f>
        <v>-8.5404508291501674E-2</v>
      </c>
      <c r="G52" s="1">
        <f t="shared" si="1"/>
        <v>9.1872000683790603E-2</v>
      </c>
      <c r="H52" s="1" t="str">
        <f>H50</f>
        <v>INDIA</v>
      </c>
      <c r="I52" s="1">
        <f>C52</f>
        <v>7.1495767940996879E-2</v>
      </c>
    </row>
    <row r="53" spans="1:9" x14ac:dyDescent="0.2">
      <c r="A53" s="2">
        <v>0.17456352680640674</v>
      </c>
      <c r="B53" s="2">
        <v>9.3925075513554765E-2</v>
      </c>
      <c r="C53" s="2">
        <v>8.8627824300545166E-2</v>
      </c>
      <c r="D53" s="1">
        <f t="shared" si="5"/>
        <v>8.8627824300545166E-2</v>
      </c>
      <c r="E53" t="s">
        <v>12</v>
      </c>
      <c r="F53" s="1">
        <f>-C53</f>
        <v>-8.8627824300545166E-2</v>
      </c>
      <c r="G53" s="1">
        <f t="shared" si="1"/>
        <v>0.17456352680640674</v>
      </c>
      <c r="H53" s="1" t="str">
        <f>H52</f>
        <v>INDIA</v>
      </c>
      <c r="I53" s="1">
        <f>G53</f>
        <v>0.17456352680640674</v>
      </c>
    </row>
    <row r="54" spans="1:9" x14ac:dyDescent="0.2">
      <c r="A54" s="2">
        <v>0.28255102711946156</v>
      </c>
      <c r="B54" s="2">
        <v>5.3081426656431577E-2</v>
      </c>
      <c r="C54" s="2">
        <v>7.8638372680460256E-2</v>
      </c>
      <c r="D54" s="1">
        <f t="shared" si="5"/>
        <v>5.3081426656431577E-2</v>
      </c>
      <c r="E54" t="s">
        <v>3</v>
      </c>
      <c r="F54" s="1">
        <f>-C54</f>
        <v>-7.8638372680460256E-2</v>
      </c>
      <c r="G54" s="1">
        <f t="shared" si="1"/>
        <v>0.28255102711946156</v>
      </c>
      <c r="H54" s="1" t="str">
        <f>H53</f>
        <v>INDIA</v>
      </c>
      <c r="I54" s="1">
        <f>G54</f>
        <v>0.28255102711946156</v>
      </c>
    </row>
    <row r="55" spans="1:9" x14ac:dyDescent="0.2">
      <c r="A55" s="2">
        <v>-8.9851455530674598E-3</v>
      </c>
      <c r="B55" s="2">
        <v>1.9583523728709844E-4</v>
      </c>
      <c r="C55" s="2">
        <v>4.5779994749278075E-2</v>
      </c>
      <c r="D55" s="1">
        <f t="shared" si="5"/>
        <v>-8.9851455530674598E-3</v>
      </c>
      <c r="E55" t="s">
        <v>11</v>
      </c>
      <c r="F55" s="1">
        <f>-B55</f>
        <v>-1.9583523728709844E-4</v>
      </c>
      <c r="G55" s="1">
        <f t="shared" si="1"/>
        <v>4.5779994749278075E-2</v>
      </c>
      <c r="H55" s="1" t="str">
        <f>H51</f>
        <v>JAPAN</v>
      </c>
      <c r="I55" s="1">
        <f>A55</f>
        <v>-8.9851455530674598E-3</v>
      </c>
    </row>
    <row r="56" spans="1:9" x14ac:dyDescent="0.2">
      <c r="A56" s="2">
        <v>8.117034547090346E-2</v>
      </c>
      <c r="B56" s="2">
        <v>7.4141756950789672E-2</v>
      </c>
      <c r="C56" s="2">
        <v>4.0005261868324649E-2</v>
      </c>
      <c r="D56" s="1">
        <f t="shared" si="5"/>
        <v>4.0005261868324649E-2</v>
      </c>
      <c r="E56" t="s">
        <v>12</v>
      </c>
      <c r="F56" s="1">
        <f>-A56</f>
        <v>-8.117034547090346E-2</v>
      </c>
      <c r="G56" s="1">
        <f t="shared" si="1"/>
        <v>8.117034547090346E-2</v>
      </c>
      <c r="H56" s="1" t="str">
        <f>H54</f>
        <v>INDIA</v>
      </c>
      <c r="I56" s="1">
        <f>C56</f>
        <v>4.0005261868324649E-2</v>
      </c>
    </row>
    <row r="57" spans="1:9" x14ac:dyDescent="0.2">
      <c r="A57" s="2">
        <v>-2.3420085499266274E-4</v>
      </c>
      <c r="B57" s="2">
        <v>3.3560173370599897E-2</v>
      </c>
      <c r="C57" s="2">
        <v>1.3102464750314624E-2</v>
      </c>
      <c r="D57" s="1">
        <f t="shared" si="5"/>
        <v>-2.3420085499266274E-4</v>
      </c>
      <c r="E57" t="s">
        <v>11</v>
      </c>
      <c r="F57" s="1">
        <f>-C57</f>
        <v>-1.3102464750314624E-2</v>
      </c>
      <c r="G57" s="1">
        <f t="shared" si="1"/>
        <v>3.3560173370599897E-2</v>
      </c>
      <c r="H57" s="1" t="str">
        <f>H46</f>
        <v>US</v>
      </c>
      <c r="I57" s="1">
        <f>A57</f>
        <v>-2.3420085499266274E-4</v>
      </c>
    </row>
    <row r="58" spans="1:9" x14ac:dyDescent="0.2">
      <c r="A58" s="2">
        <v>9.3204413964959987E-2</v>
      </c>
      <c r="B58" s="2">
        <v>3.5723383825517749E-2</v>
      </c>
      <c r="C58" s="2">
        <v>-3.4243409358848731E-2</v>
      </c>
      <c r="D58" s="1">
        <f t="shared" si="5"/>
        <v>-3.4243409358848731E-2</v>
      </c>
      <c r="E58" t="s">
        <v>12</v>
      </c>
      <c r="F58" s="1">
        <f>-A58</f>
        <v>-9.3204413964959987E-2</v>
      </c>
      <c r="G58" s="1">
        <f t="shared" si="1"/>
        <v>9.3204413964959987E-2</v>
      </c>
      <c r="H58" s="1" t="str">
        <f>H56</f>
        <v>INDIA</v>
      </c>
      <c r="I58" s="1">
        <f>B58</f>
        <v>3.5723383825517749E-2</v>
      </c>
    </row>
    <row r="59" spans="1:9" x14ac:dyDescent="0.2">
      <c r="A59" s="2">
        <v>-7.1849798328237985E-2</v>
      </c>
      <c r="B59" s="2">
        <v>-1.976198584780705E-2</v>
      </c>
      <c r="C59" s="2">
        <v>-9.7195070081306234E-3</v>
      </c>
      <c r="D59" s="1">
        <f t="shared" si="5"/>
        <v>-7.1849798328237985E-2</v>
      </c>
      <c r="E59" t="s">
        <v>11</v>
      </c>
      <c r="F59" s="1">
        <f>-C59</f>
        <v>9.7195070081306234E-3</v>
      </c>
      <c r="G59" s="1">
        <f t="shared" si="1"/>
        <v>-9.7195070081306234E-3</v>
      </c>
      <c r="H59" s="1" t="s">
        <v>5</v>
      </c>
      <c r="I59" s="1">
        <f>A59</f>
        <v>-7.1849798328237985E-2</v>
      </c>
    </row>
    <row r="60" spans="1:9" x14ac:dyDescent="0.2">
      <c r="A60" s="2">
        <v>6.4791259338662907E-2</v>
      </c>
      <c r="B60" s="2">
        <v>5.7363996950366293E-2</v>
      </c>
      <c r="C60" s="2">
        <v>-6.868040427554678E-2</v>
      </c>
      <c r="D60" s="1">
        <f t="shared" si="5"/>
        <v>-6.868040427554678E-2</v>
      </c>
      <c r="E60" t="s">
        <v>12</v>
      </c>
      <c r="F60" s="1">
        <f>-A60</f>
        <v>-6.4791259338662907E-2</v>
      </c>
      <c r="G60" s="1">
        <f t="shared" si="1"/>
        <v>6.4791259338662907E-2</v>
      </c>
      <c r="H60" s="1" t="s">
        <v>8</v>
      </c>
      <c r="I60" s="1">
        <f>C60</f>
        <v>-6.868040427554678E-2</v>
      </c>
    </row>
    <row r="61" spans="1:9" x14ac:dyDescent="0.2">
      <c r="A61" s="2">
        <v>3.1819862910915736E-2</v>
      </c>
      <c r="B61" s="2">
        <v>1.7770597738287375E-2</v>
      </c>
      <c r="C61" s="2">
        <v>0.12849859023813481</v>
      </c>
      <c r="D61" s="1">
        <f t="shared" si="5"/>
        <v>1.7770597738287375E-2</v>
      </c>
      <c r="E61" t="s">
        <v>3</v>
      </c>
      <c r="F61" s="1">
        <f>-C61</f>
        <v>-0.12849859023813481</v>
      </c>
      <c r="G61" s="1">
        <f t="shared" si="1"/>
        <v>0.12849859023813481</v>
      </c>
      <c r="H61" s="1" t="str">
        <f>H59</f>
        <v>JAPAN</v>
      </c>
      <c r="I61" s="1">
        <f>A61</f>
        <v>3.1819862910915736E-2</v>
      </c>
    </row>
    <row r="62" spans="1:9" x14ac:dyDescent="0.2">
      <c r="A62" s="2">
        <v>-6.3376011534050591E-2</v>
      </c>
      <c r="B62" s="2">
        <v>-3.6974262397991231E-2</v>
      </c>
      <c r="C62" s="2">
        <v>-3.3034843985268902E-2</v>
      </c>
      <c r="D62" s="1">
        <f t="shared" si="5"/>
        <v>-6.3376011534050591E-2</v>
      </c>
      <c r="E62" t="s">
        <v>11</v>
      </c>
      <c r="F62" s="1">
        <f>-B62</f>
        <v>3.6974262397991231E-2</v>
      </c>
      <c r="G62" s="1">
        <f t="shared" si="1"/>
        <v>-3.3034843985268902E-2</v>
      </c>
      <c r="H62" s="1" t="str">
        <f>H61</f>
        <v>JAPAN</v>
      </c>
      <c r="I62" s="1">
        <f>G62</f>
        <v>-3.3034843985268902E-2</v>
      </c>
    </row>
    <row r="63" spans="1:9" x14ac:dyDescent="0.2">
      <c r="A63" s="2">
        <v>4.376462590689802E-3</v>
      </c>
      <c r="B63" s="2">
        <v>2.8513693463827205E-2</v>
      </c>
      <c r="C63" s="2">
        <v>-7.0611607720699743E-3</v>
      </c>
      <c r="D63" s="1">
        <f t="shared" si="5"/>
        <v>-7.0611607720699743E-3</v>
      </c>
      <c r="E63" t="s">
        <v>12</v>
      </c>
      <c r="F63" s="1">
        <f>-A63</f>
        <v>-4.376462590689802E-3</v>
      </c>
      <c r="G63" s="1">
        <f t="shared" si="1"/>
        <v>2.8513693463827205E-2</v>
      </c>
      <c r="H63" s="1" t="s">
        <v>3</v>
      </c>
      <c r="I63" s="1">
        <f>C63</f>
        <v>-7.0611607720699743E-3</v>
      </c>
    </row>
    <row r="64" spans="1:9" x14ac:dyDescent="0.2">
      <c r="A64" s="2">
        <v>6.6844192324196416E-2</v>
      </c>
      <c r="B64" s="2">
        <v>5.8796367554255859E-2</v>
      </c>
      <c r="C64" s="2">
        <v>9.5191303995741716E-2</v>
      </c>
      <c r="D64" s="1">
        <f t="shared" si="5"/>
        <v>5.8796367554255859E-2</v>
      </c>
      <c r="E64" t="s">
        <v>3</v>
      </c>
      <c r="F64" s="1">
        <f>-C64</f>
        <v>-9.5191303995741716E-2</v>
      </c>
      <c r="G64" s="1">
        <f t="shared" si="1"/>
        <v>9.5191303995741716E-2</v>
      </c>
      <c r="H64" s="1" t="str">
        <f>H62</f>
        <v>JAPAN</v>
      </c>
      <c r="I64" s="1">
        <f>B64</f>
        <v>5.8796367554255859E-2</v>
      </c>
    </row>
    <row r="65" spans="1:9" x14ac:dyDescent="0.2">
      <c r="A65" s="2">
        <v>1.7651988815461802E-3</v>
      </c>
      <c r="B65" s="2">
        <v>1.475932719359003E-2</v>
      </c>
      <c r="C65" s="2">
        <v>-2.934190807164061E-3</v>
      </c>
      <c r="D65" s="1">
        <f t="shared" si="5"/>
        <v>-2.934190807164061E-3</v>
      </c>
      <c r="E65" t="s">
        <v>12</v>
      </c>
      <c r="F65" s="1">
        <f>-B65</f>
        <v>-1.475932719359003E-2</v>
      </c>
      <c r="G65" s="1">
        <f t="shared" si="1"/>
        <v>1.475932719359003E-2</v>
      </c>
      <c r="H65" s="1" t="str">
        <f>H63</f>
        <v>US</v>
      </c>
      <c r="I65" s="1">
        <f>C65</f>
        <v>-2.934190807164061E-3</v>
      </c>
    </row>
    <row r="66" spans="1:9" x14ac:dyDescent="0.2">
      <c r="A66" s="2">
        <v>-3.4972956441560808E-2</v>
      </c>
      <c r="B66" s="2">
        <v>-8.1975916203894841E-2</v>
      </c>
      <c r="C66" s="2">
        <v>-0.11654638522618332</v>
      </c>
      <c r="D66" s="1">
        <f t="shared" si="5"/>
        <v>-0.11654638522618332</v>
      </c>
      <c r="E66" t="s">
        <v>12</v>
      </c>
      <c r="F66" s="1">
        <f>-C66</f>
        <v>0.11654638522618332</v>
      </c>
      <c r="G66" s="1">
        <f t="shared" si="1"/>
        <v>-3.4972956441560808E-2</v>
      </c>
      <c r="H66" s="1" t="s">
        <v>8</v>
      </c>
      <c r="I66" s="1">
        <f>B66</f>
        <v>-8.1975916203894841E-2</v>
      </c>
    </row>
    <row r="67" spans="1:9" x14ac:dyDescent="0.2">
      <c r="A67" s="2">
        <v>4.4631839113630715E-2</v>
      </c>
      <c r="B67" s="2">
        <v>-5.3882376699314345E-2</v>
      </c>
      <c r="C67" s="2">
        <v>-3.9520099910940187E-2</v>
      </c>
      <c r="D67" s="1">
        <f t="shared" ref="D67:D98" si="7">MIN(A67:C67)</f>
        <v>-5.3882376699314345E-2</v>
      </c>
      <c r="E67" t="s">
        <v>3</v>
      </c>
      <c r="F67" s="1">
        <f>-C67</f>
        <v>3.9520099910940187E-2</v>
      </c>
      <c r="G67" s="1">
        <f t="shared" ref="G67:G130" si="8">MAX(A67:C67)</f>
        <v>4.4631839113630715E-2</v>
      </c>
      <c r="H67" s="1" t="str">
        <f>H66</f>
        <v>INDIA</v>
      </c>
      <c r="I67" s="1">
        <f>G67</f>
        <v>4.4631839113630715E-2</v>
      </c>
    </row>
    <row r="68" spans="1:9" x14ac:dyDescent="0.2">
      <c r="A68" s="2">
        <v>9.4571462468008866E-3</v>
      </c>
      <c r="B68" s="2">
        <v>6.8777832756061225E-2</v>
      </c>
      <c r="C68" s="2">
        <v>1.6483633604188253E-2</v>
      </c>
      <c r="D68" s="1">
        <f t="shared" si="7"/>
        <v>9.4571462468008866E-3</v>
      </c>
      <c r="E68" t="s">
        <v>11</v>
      </c>
      <c r="F68" s="1">
        <f>-B68</f>
        <v>-6.8777832756061225E-2</v>
      </c>
      <c r="G68" s="1">
        <f t="shared" si="8"/>
        <v>6.8777832756061225E-2</v>
      </c>
      <c r="H68" s="1" t="s">
        <v>3</v>
      </c>
      <c r="I68" s="1">
        <f>A68</f>
        <v>9.4571462468008866E-3</v>
      </c>
    </row>
    <row r="69" spans="1:9" x14ac:dyDescent="0.2">
      <c r="A69" s="2">
        <v>5.7543246979287182E-3</v>
      </c>
      <c r="B69" s="2">
        <v>-4.7449164851125623E-2</v>
      </c>
      <c r="C69" s="2">
        <v>-7.4784268084258643E-2</v>
      </c>
      <c r="D69" s="1">
        <f t="shared" si="7"/>
        <v>-7.4784268084258643E-2</v>
      </c>
      <c r="E69" t="s">
        <v>12</v>
      </c>
      <c r="F69" s="1">
        <f>-A69</f>
        <v>-5.7543246979287182E-3</v>
      </c>
      <c r="G69" s="1">
        <f t="shared" si="8"/>
        <v>5.7543246979287182E-3</v>
      </c>
      <c r="H69" s="1" t="str">
        <f>H67</f>
        <v>INDIA</v>
      </c>
      <c r="I69" s="1">
        <f>B69</f>
        <v>-4.7449164851125623E-2</v>
      </c>
    </row>
    <row r="70" spans="1:9" x14ac:dyDescent="0.2">
      <c r="A70" s="2">
        <v>0.11674286299351405</v>
      </c>
      <c r="B70" s="2">
        <v>8.7551104037814728E-2</v>
      </c>
      <c r="C70" s="2">
        <v>6.1795817344850512E-2</v>
      </c>
      <c r="D70" s="1">
        <f t="shared" si="7"/>
        <v>6.1795817344850512E-2</v>
      </c>
      <c r="E70" t="s">
        <v>12</v>
      </c>
      <c r="F70" s="1">
        <f>-C70</f>
        <v>-6.1795817344850512E-2</v>
      </c>
      <c r="G70" s="1">
        <f t="shared" si="8"/>
        <v>0.11674286299351405</v>
      </c>
      <c r="H70" s="1" t="str">
        <f>H69</f>
        <v>INDIA</v>
      </c>
      <c r="I70" s="1">
        <f>G70</f>
        <v>0.11674286299351405</v>
      </c>
    </row>
    <row r="71" spans="1:9" x14ac:dyDescent="0.2">
      <c r="A71" s="2">
        <v>-1.8326663052490014E-3</v>
      </c>
      <c r="B71" s="2">
        <v>3.6855941114616146E-2</v>
      </c>
      <c r="C71" s="2">
        <v>-1.7813402210398732E-2</v>
      </c>
      <c r="D71" s="1">
        <f t="shared" si="7"/>
        <v>-1.7813402210398732E-2</v>
      </c>
      <c r="E71" t="s">
        <v>12</v>
      </c>
      <c r="F71" s="1">
        <f t="shared" ref="F71:F72" si="9">-C71</f>
        <v>1.7813402210398732E-2</v>
      </c>
      <c r="G71" s="1">
        <f t="shared" si="8"/>
        <v>3.6855941114616146E-2</v>
      </c>
      <c r="H71" s="1" t="s">
        <v>3</v>
      </c>
      <c r="I71" s="1">
        <f>A71</f>
        <v>-1.8326663052490014E-3</v>
      </c>
    </row>
    <row r="72" spans="1:9" x14ac:dyDescent="0.2">
      <c r="A72" s="2">
        <v>-2.551324508270128E-2</v>
      </c>
      <c r="B72" s="2">
        <v>-2.290282778087687E-3</v>
      </c>
      <c r="C72" s="2">
        <v>7.9825481257708608E-2</v>
      </c>
      <c r="D72" s="1">
        <f t="shared" si="7"/>
        <v>-2.551324508270128E-2</v>
      </c>
      <c r="E72" t="s">
        <v>11</v>
      </c>
      <c r="F72" s="1">
        <f t="shared" si="9"/>
        <v>-7.9825481257708608E-2</v>
      </c>
      <c r="G72" s="1">
        <f t="shared" si="8"/>
        <v>7.9825481257708608E-2</v>
      </c>
      <c r="H72" s="1" t="str">
        <f>H64</f>
        <v>JAPAN</v>
      </c>
      <c r="I72" s="1">
        <f>B72</f>
        <v>-2.290282778087687E-3</v>
      </c>
    </row>
    <row r="73" spans="1:9" x14ac:dyDescent="0.2">
      <c r="A73" s="2">
        <v>5.0603316898251913E-2</v>
      </c>
      <c r="B73" s="2">
        <v>6.5300072000338952E-2</v>
      </c>
      <c r="C73" s="2">
        <v>2.9372931979744443E-2</v>
      </c>
      <c r="D73" s="1">
        <f t="shared" si="7"/>
        <v>2.9372931979744443E-2</v>
      </c>
      <c r="E73" t="s">
        <v>12</v>
      </c>
      <c r="F73" s="1">
        <f>-A73</f>
        <v>-5.0603316898251913E-2</v>
      </c>
      <c r="G73" s="1">
        <f t="shared" si="8"/>
        <v>6.5300072000338952E-2</v>
      </c>
      <c r="H73" s="1" t="s">
        <v>3</v>
      </c>
      <c r="I73" s="1">
        <f>C73</f>
        <v>2.9372931979744443E-2</v>
      </c>
    </row>
    <row r="74" spans="1:9" x14ac:dyDescent="0.2">
      <c r="A74" s="2">
        <v>-0.10635918024641765</v>
      </c>
      <c r="B74" s="2">
        <v>2.2645590152984788E-2</v>
      </c>
      <c r="C74" s="2">
        <v>8.7985828415892975E-4</v>
      </c>
      <c r="D74" s="1">
        <f t="shared" si="7"/>
        <v>-0.10635918024641765</v>
      </c>
      <c r="E74" t="s">
        <v>11</v>
      </c>
      <c r="F74" s="1">
        <f>-C74</f>
        <v>-8.7985828415892975E-4</v>
      </c>
      <c r="G74" s="1">
        <f t="shared" si="8"/>
        <v>2.2645590152984788E-2</v>
      </c>
      <c r="H74" s="1" t="str">
        <f>H73</f>
        <v>US</v>
      </c>
      <c r="I74" s="1">
        <f>G74</f>
        <v>2.2645590152984788E-2</v>
      </c>
    </row>
    <row r="75" spans="1:9" x14ac:dyDescent="0.2">
      <c r="A75" s="2">
        <v>-2.7518911203551169E-2</v>
      </c>
      <c r="B75" s="2">
        <v>3.195658258949409E-2</v>
      </c>
      <c r="C75" s="2">
        <v>3.7719575851344889E-2</v>
      </c>
      <c r="D75" s="1">
        <f t="shared" si="7"/>
        <v>-2.7518911203551169E-2</v>
      </c>
      <c r="E75" t="s">
        <v>11</v>
      </c>
      <c r="F75" s="1">
        <f>-A75</f>
        <v>2.7518911203551169E-2</v>
      </c>
      <c r="G75" s="1">
        <f t="shared" si="8"/>
        <v>3.7719575851344889E-2</v>
      </c>
      <c r="H75" s="1" t="str">
        <f>H72</f>
        <v>JAPAN</v>
      </c>
      <c r="I75" s="1">
        <f>B75</f>
        <v>3.195658258949409E-2</v>
      </c>
    </row>
    <row r="76" spans="1:9" x14ac:dyDescent="0.2">
      <c r="A76" s="2">
        <v>9.0993862001638268E-2</v>
      </c>
      <c r="B76" s="2">
        <v>-1.047301879115821E-3</v>
      </c>
      <c r="C76" s="2">
        <v>-8.1794299558832773E-2</v>
      </c>
      <c r="D76" s="1">
        <f t="shared" si="7"/>
        <v>-8.1794299558832773E-2</v>
      </c>
      <c r="E76" t="s">
        <v>12</v>
      </c>
      <c r="F76" s="1">
        <f>-A76</f>
        <v>-9.0993862001638268E-2</v>
      </c>
      <c r="G76" s="1">
        <f t="shared" si="8"/>
        <v>9.0993862001638268E-2</v>
      </c>
      <c r="H76" s="1" t="s">
        <v>8</v>
      </c>
      <c r="I76" s="1">
        <f>C76</f>
        <v>-8.1794299558832773E-2</v>
      </c>
    </row>
    <row r="77" spans="1:9" x14ac:dyDescent="0.2">
      <c r="A77" s="2">
        <v>-1.5904165650992997E-2</v>
      </c>
      <c r="B77" s="2">
        <v>2.8495357625034863E-2</v>
      </c>
      <c r="C77" s="2">
        <v>9.7015919877807555E-3</v>
      </c>
      <c r="D77" s="1">
        <f t="shared" si="7"/>
        <v>-1.5904165650992997E-2</v>
      </c>
      <c r="E77" t="s">
        <v>11</v>
      </c>
      <c r="F77" s="1">
        <f>-C77</f>
        <v>-9.7015919877807555E-3</v>
      </c>
      <c r="G77" s="1">
        <f t="shared" si="8"/>
        <v>2.8495357625034863E-2</v>
      </c>
      <c r="H77" s="1" t="s">
        <v>3</v>
      </c>
      <c r="I77" s="1">
        <f>A77</f>
        <v>-1.5904165650992997E-2</v>
      </c>
    </row>
    <row r="78" spans="1:9" x14ac:dyDescent="0.2">
      <c r="A78" s="2">
        <v>-3.3062360080184129E-2</v>
      </c>
      <c r="B78" s="2">
        <v>-1.3500927684601796E-2</v>
      </c>
      <c r="C78" s="2">
        <v>-1.5838996765396907E-2</v>
      </c>
      <c r="D78" s="1">
        <f t="shared" si="7"/>
        <v>-3.3062360080184129E-2</v>
      </c>
      <c r="E78" t="s">
        <v>11</v>
      </c>
      <c r="F78" s="1">
        <f>-A78</f>
        <v>3.3062360080184129E-2</v>
      </c>
      <c r="G78" s="1">
        <f t="shared" si="8"/>
        <v>-1.3500927684601796E-2</v>
      </c>
      <c r="H78" s="1" t="str">
        <f>H77</f>
        <v>US</v>
      </c>
      <c r="I78" s="1">
        <f>B78</f>
        <v>-1.3500927684601796E-2</v>
      </c>
    </row>
    <row r="79" spans="1:9" x14ac:dyDescent="0.2">
      <c r="A79" s="2">
        <v>1.8515095701951232E-2</v>
      </c>
      <c r="B79" s="2">
        <v>-1.8257508177222676E-2</v>
      </c>
      <c r="C79" s="2">
        <v>1.2622592129139187E-2</v>
      </c>
      <c r="D79" s="1">
        <f t="shared" si="7"/>
        <v>-1.8257508177222676E-2</v>
      </c>
      <c r="E79" t="s">
        <v>3</v>
      </c>
      <c r="F79" s="1">
        <f>-A79</f>
        <v>-1.8515095701951232E-2</v>
      </c>
      <c r="G79" s="1">
        <f t="shared" si="8"/>
        <v>1.8515095701951232E-2</v>
      </c>
      <c r="H79" s="1" t="s">
        <v>8</v>
      </c>
      <c r="I79" s="1">
        <f>C79</f>
        <v>1.2622592129139187E-2</v>
      </c>
    </row>
    <row r="80" spans="1:9" x14ac:dyDescent="0.2">
      <c r="A80" s="2">
        <v>-3.4419742893270426E-2</v>
      </c>
      <c r="B80" s="2">
        <v>-2.1474436636782262E-2</v>
      </c>
      <c r="C80" s="2">
        <v>1.7257380484489993E-3</v>
      </c>
      <c r="D80" s="1">
        <f t="shared" si="7"/>
        <v>-3.4419742893270426E-2</v>
      </c>
      <c r="E80" t="s">
        <v>11</v>
      </c>
      <c r="F80" s="1">
        <f>-B80</f>
        <v>2.1474436636782262E-2</v>
      </c>
      <c r="G80" s="1">
        <f t="shared" si="8"/>
        <v>1.7257380484489993E-3</v>
      </c>
      <c r="H80" s="1" t="s">
        <v>5</v>
      </c>
      <c r="I80" s="1">
        <f>A80</f>
        <v>-3.4419742893270426E-2</v>
      </c>
    </row>
    <row r="81" spans="1:9" x14ac:dyDescent="0.2">
      <c r="A81" s="2">
        <v>-8.355406326247998E-2</v>
      </c>
      <c r="B81" s="2">
        <v>-5.679109790447881E-2</v>
      </c>
      <c r="C81" s="2">
        <v>-8.9273601321261054E-2</v>
      </c>
      <c r="D81" s="1">
        <f t="shared" si="7"/>
        <v>-8.9273601321261054E-2</v>
      </c>
      <c r="E81" t="s">
        <v>12</v>
      </c>
      <c r="F81" s="1">
        <f>-A81</f>
        <v>8.355406326247998E-2</v>
      </c>
      <c r="G81" s="1">
        <f t="shared" si="8"/>
        <v>-5.679109790447881E-2</v>
      </c>
      <c r="H81" s="1" t="s">
        <v>3</v>
      </c>
      <c r="I81" s="1">
        <f>C81</f>
        <v>-8.9273601321261054E-2</v>
      </c>
    </row>
    <row r="82" spans="1:9" x14ac:dyDescent="0.2">
      <c r="A82" s="2">
        <v>-1.3371310357233969E-2</v>
      </c>
      <c r="B82" s="2">
        <v>-7.1762012979021919E-2</v>
      </c>
      <c r="C82" s="2">
        <v>-2.8465025906735719E-2</v>
      </c>
      <c r="D82" s="1">
        <f t="shared" si="7"/>
        <v>-7.1762012979021919E-2</v>
      </c>
      <c r="E82" t="s">
        <v>3</v>
      </c>
      <c r="F82" s="1">
        <f>-C82</f>
        <v>2.8465025906735719E-2</v>
      </c>
      <c r="G82" s="1">
        <f t="shared" si="8"/>
        <v>-1.3371310357233969E-2</v>
      </c>
      <c r="H82" s="1" t="str">
        <f>H79</f>
        <v>INDIA</v>
      </c>
      <c r="I82" s="1">
        <f>B82</f>
        <v>-7.1762012979021919E-2</v>
      </c>
    </row>
    <row r="83" spans="1:9" x14ac:dyDescent="0.2">
      <c r="A83" s="2">
        <v>7.6046447742035866E-2</v>
      </c>
      <c r="B83" s="2">
        <v>0.10772303830584563</v>
      </c>
      <c r="C83" s="2">
        <v>3.3113838734111001E-2</v>
      </c>
      <c r="D83" s="1">
        <f t="shared" si="7"/>
        <v>3.3113838734111001E-2</v>
      </c>
      <c r="E83" t="s">
        <v>12</v>
      </c>
      <c r="F83" s="1">
        <f>-B83</f>
        <v>-0.10772303830584563</v>
      </c>
      <c r="G83" s="1">
        <f t="shared" si="8"/>
        <v>0.10772303830584563</v>
      </c>
      <c r="H83" s="1" t="str">
        <f>H78</f>
        <v>US</v>
      </c>
      <c r="I83" s="1">
        <f>A83</f>
        <v>7.6046447742035866E-2</v>
      </c>
    </row>
    <row r="84" spans="1:9" x14ac:dyDescent="0.2">
      <c r="A84" s="2">
        <v>-8.9327823028622938E-2</v>
      </c>
      <c r="B84" s="2">
        <v>-5.0586451767333585E-3</v>
      </c>
      <c r="C84" s="2">
        <v>-6.1610588770625085E-2</v>
      </c>
      <c r="D84" s="1">
        <f t="shared" si="7"/>
        <v>-8.9327823028622938E-2</v>
      </c>
      <c r="E84" t="s">
        <v>11</v>
      </c>
      <c r="F84" s="1">
        <f>-C84</f>
        <v>6.1610588770625085E-2</v>
      </c>
      <c r="G84" s="1">
        <f t="shared" si="8"/>
        <v>-5.0586451767333585E-3</v>
      </c>
      <c r="H84" s="1" t="str">
        <f>H83</f>
        <v>US</v>
      </c>
      <c r="I84" s="1">
        <f>B84</f>
        <v>-5.0586451767333585E-3</v>
      </c>
    </row>
    <row r="85" spans="1:9" x14ac:dyDescent="0.2">
      <c r="A85" s="2">
        <v>-4.1463804915322089E-2</v>
      </c>
      <c r="B85" s="2">
        <v>8.5327516520176047E-3</v>
      </c>
      <c r="C85" s="2">
        <v>2.45891629844186E-3</v>
      </c>
      <c r="D85" s="1">
        <f t="shared" si="7"/>
        <v>-4.1463804915322089E-2</v>
      </c>
      <c r="E85" t="s">
        <v>11</v>
      </c>
      <c r="F85" s="1">
        <f>-A85</f>
        <v>4.1463804915322089E-2</v>
      </c>
      <c r="G85" s="1">
        <f t="shared" si="8"/>
        <v>8.5327516520176047E-3</v>
      </c>
      <c r="H85" s="1" t="str">
        <f>H84</f>
        <v>US</v>
      </c>
      <c r="I85" s="1">
        <f>B85</f>
        <v>8.5327516520176047E-3</v>
      </c>
    </row>
    <row r="86" spans="1:9" x14ac:dyDescent="0.2">
      <c r="A86" s="2">
        <v>0.11249686184076005</v>
      </c>
      <c r="B86" s="2">
        <v>4.3583015267175715E-2</v>
      </c>
      <c r="C86" s="2">
        <v>4.1058028348915254E-2</v>
      </c>
      <c r="D86" s="1">
        <f t="shared" si="7"/>
        <v>4.1058028348915254E-2</v>
      </c>
      <c r="E86" t="s">
        <v>12</v>
      </c>
      <c r="F86" s="1">
        <f>-A86</f>
        <v>-0.11249686184076005</v>
      </c>
      <c r="G86" s="1">
        <f t="shared" si="8"/>
        <v>0.11249686184076005</v>
      </c>
      <c r="H86" s="1" t="s">
        <v>8</v>
      </c>
      <c r="I86" s="1">
        <f>B86</f>
        <v>4.3583015267175715E-2</v>
      </c>
    </row>
    <row r="87" spans="1:9" x14ac:dyDescent="0.2">
      <c r="A87" s="2">
        <v>3.2519753046927544E-2</v>
      </c>
      <c r="B87" s="2">
        <v>4.0589449943234185E-2</v>
      </c>
      <c r="C87" s="2">
        <v>0.10459857472470913</v>
      </c>
      <c r="D87" s="1">
        <f t="shared" si="7"/>
        <v>3.2519753046927544E-2</v>
      </c>
      <c r="E87" t="s">
        <v>11</v>
      </c>
      <c r="F87" s="1">
        <f>-C87</f>
        <v>-0.10459857472470913</v>
      </c>
      <c r="G87" s="1">
        <f t="shared" si="8"/>
        <v>0.10459857472470913</v>
      </c>
      <c r="H87" s="1" t="str">
        <f>H80</f>
        <v>JAPAN</v>
      </c>
      <c r="I87" s="1">
        <f>A87</f>
        <v>3.2519753046927544E-2</v>
      </c>
    </row>
    <row r="88" spans="1:9" x14ac:dyDescent="0.2">
      <c r="A88" s="2">
        <v>-1.9629712246263639E-2</v>
      </c>
      <c r="B88" s="2">
        <v>3.1332376545017838E-2</v>
      </c>
      <c r="C88" s="2">
        <v>3.7057606312299152E-2</v>
      </c>
      <c r="D88" s="1">
        <f t="shared" si="7"/>
        <v>-1.9629712246263639E-2</v>
      </c>
      <c r="E88" t="s">
        <v>11</v>
      </c>
      <c r="F88" s="1">
        <f>-A88</f>
        <v>1.9629712246263639E-2</v>
      </c>
      <c r="G88" s="1">
        <f t="shared" si="8"/>
        <v>3.7057606312299152E-2</v>
      </c>
      <c r="H88" s="1" t="str">
        <f>H87</f>
        <v>JAPAN</v>
      </c>
      <c r="I88" s="1">
        <f>C88</f>
        <v>3.7057606312299152E-2</v>
      </c>
    </row>
    <row r="89" spans="1:9" x14ac:dyDescent="0.2">
      <c r="A89" s="2">
        <v>-4.906286988198217E-3</v>
      </c>
      <c r="B89" s="2">
        <v>-7.4974972842871664E-3</v>
      </c>
      <c r="C89" s="2">
        <v>-5.5800729107577052E-2</v>
      </c>
      <c r="D89" s="1">
        <f t="shared" si="7"/>
        <v>-5.5800729107577052E-2</v>
      </c>
      <c r="E89" t="s">
        <v>12</v>
      </c>
      <c r="F89" s="1">
        <f>-A89</f>
        <v>4.906286988198217E-3</v>
      </c>
      <c r="G89" s="1">
        <f t="shared" si="8"/>
        <v>-4.906286988198217E-3</v>
      </c>
      <c r="H89" s="1" t="str">
        <f>H86</f>
        <v>INDIA</v>
      </c>
      <c r="I89" s="1">
        <f>C89</f>
        <v>-5.5800729107577052E-2</v>
      </c>
    </row>
    <row r="90" spans="1:9" x14ac:dyDescent="0.2">
      <c r="A90" s="2">
        <v>-6.3530923891422134E-2</v>
      </c>
      <c r="B90" s="2">
        <v>-6.2650671359386623E-2</v>
      </c>
      <c r="C90" s="2">
        <v>-0.10273829442415572</v>
      </c>
      <c r="D90" s="1">
        <f t="shared" si="7"/>
        <v>-0.10273829442415572</v>
      </c>
      <c r="E90" t="s">
        <v>12</v>
      </c>
      <c r="F90" s="1">
        <f>-C90</f>
        <v>0.10273829442415572</v>
      </c>
      <c r="G90" s="1">
        <f t="shared" si="8"/>
        <v>-6.2650671359386623E-2</v>
      </c>
      <c r="H90" s="1" t="str">
        <f>H85</f>
        <v>US</v>
      </c>
      <c r="I90" s="1">
        <f>A90</f>
        <v>-6.3530923891422134E-2</v>
      </c>
    </row>
    <row r="91" spans="1:9" x14ac:dyDescent="0.2">
      <c r="A91" s="2">
        <v>7.4695425541032312E-2</v>
      </c>
      <c r="B91" s="2">
        <v>3.955492127937249E-2</v>
      </c>
      <c r="C91" s="2">
        <v>5.4321042570700584E-2</v>
      </c>
      <c r="D91" s="1">
        <f t="shared" si="7"/>
        <v>3.955492127937249E-2</v>
      </c>
      <c r="E91" t="s">
        <v>3</v>
      </c>
      <c r="F91" s="1">
        <f>-C91</f>
        <v>-5.4321042570700584E-2</v>
      </c>
      <c r="G91" s="1">
        <f t="shared" si="8"/>
        <v>7.4695425541032312E-2</v>
      </c>
      <c r="H91" s="1" t="str">
        <f>H89</f>
        <v>INDIA</v>
      </c>
      <c r="I91" s="1">
        <f>B91</f>
        <v>3.955492127937249E-2</v>
      </c>
    </row>
    <row r="92" spans="1:9" x14ac:dyDescent="0.2">
      <c r="A92" s="2">
        <v>-1.1118773515517474E-2</v>
      </c>
      <c r="B92" s="2">
        <v>1.259763904387139E-2</v>
      </c>
      <c r="C92" s="2">
        <v>-3.460948307830336E-2</v>
      </c>
      <c r="D92" s="1">
        <f t="shared" si="7"/>
        <v>-3.460948307830336E-2</v>
      </c>
      <c r="E92" t="s">
        <v>12</v>
      </c>
      <c r="F92" s="1">
        <f>-B92</f>
        <v>-1.259763904387139E-2</v>
      </c>
      <c r="G92" s="1">
        <f t="shared" si="8"/>
        <v>1.259763904387139E-2</v>
      </c>
      <c r="H92" s="1" t="str">
        <f>H90</f>
        <v>US</v>
      </c>
      <c r="I92" s="1">
        <f>A92</f>
        <v>-1.1118773515517474E-2</v>
      </c>
    </row>
    <row r="93" spans="1:9" x14ac:dyDescent="0.2">
      <c r="A93" s="2">
        <v>8.3875893614478204E-3</v>
      </c>
      <c r="B93" s="2">
        <v>1.9763361656468401E-2</v>
      </c>
      <c r="C93" s="2">
        <v>1.6658884470032387E-2</v>
      </c>
      <c r="D93" s="1">
        <f t="shared" si="7"/>
        <v>8.3875893614478204E-3</v>
      </c>
      <c r="E93" t="s">
        <v>11</v>
      </c>
      <c r="F93" s="1">
        <f>-C93</f>
        <v>-1.6658884470032387E-2</v>
      </c>
      <c r="G93" s="1">
        <f t="shared" si="8"/>
        <v>1.9763361656468401E-2</v>
      </c>
      <c r="H93" s="1" t="str">
        <f>H92</f>
        <v>US</v>
      </c>
      <c r="I93" s="1">
        <f>B93</f>
        <v>1.9763361656468401E-2</v>
      </c>
    </row>
    <row r="94" spans="1:9" x14ac:dyDescent="0.2">
      <c r="A94" s="2">
        <v>7.9512679257224314E-2</v>
      </c>
      <c r="B94" s="2">
        <v>2.4236090375236493E-2</v>
      </c>
      <c r="C94" s="2">
        <v>3.4219805405257819E-3</v>
      </c>
      <c r="D94" s="1">
        <f t="shared" si="7"/>
        <v>3.4219805405257819E-3</v>
      </c>
      <c r="E94" t="s">
        <v>12</v>
      </c>
      <c r="F94" s="1">
        <f>-A94</f>
        <v>-7.9512679257224314E-2</v>
      </c>
      <c r="G94" s="1">
        <f t="shared" si="8"/>
        <v>7.9512679257224314E-2</v>
      </c>
      <c r="H94" s="1" t="str">
        <f>H91</f>
        <v>INDIA</v>
      </c>
      <c r="I94" s="1">
        <f>B94</f>
        <v>2.4236090375236493E-2</v>
      </c>
    </row>
    <row r="95" spans="1:9" x14ac:dyDescent="0.2">
      <c r="A95" s="2">
        <v>-1.3716546730381626E-2</v>
      </c>
      <c r="B95" s="2">
        <v>-1.9789403541407811E-2</v>
      </c>
      <c r="C95" s="2">
        <v>6.5534330835070875E-3</v>
      </c>
      <c r="D95" s="1">
        <f t="shared" si="7"/>
        <v>-1.9789403541407811E-2</v>
      </c>
      <c r="E95" t="s">
        <v>3</v>
      </c>
      <c r="F95" s="1">
        <f>-C95</f>
        <v>-6.5534330835070875E-3</v>
      </c>
      <c r="G95" s="1">
        <f t="shared" si="8"/>
        <v>6.5534330835070875E-3</v>
      </c>
      <c r="H95" t="s">
        <v>5</v>
      </c>
      <c r="I95" s="4">
        <f>A95</f>
        <v>-1.3716546730381626E-2</v>
      </c>
    </row>
    <row r="96" spans="1:9" x14ac:dyDescent="0.2">
      <c r="A96" s="2">
        <v>4.5096074763122961E-2</v>
      </c>
      <c r="B96" s="2">
        <v>2.8467029231814961E-3</v>
      </c>
      <c r="C96" s="2">
        <v>5.7986467733462943E-2</v>
      </c>
      <c r="D96" s="1">
        <f t="shared" si="7"/>
        <v>2.8467029231814961E-3</v>
      </c>
      <c r="E96" t="s">
        <v>3</v>
      </c>
      <c r="F96" s="1">
        <f>-B96</f>
        <v>-2.8467029231814961E-3</v>
      </c>
      <c r="G96" s="1">
        <f t="shared" si="8"/>
        <v>5.7986467733462943E-2</v>
      </c>
      <c r="H96" s="1" t="str">
        <f>H95</f>
        <v>JAPAN</v>
      </c>
      <c r="I96" s="1">
        <f>G96</f>
        <v>5.7986467733462943E-2</v>
      </c>
    </row>
    <row r="97" spans="1:9" x14ac:dyDescent="0.2">
      <c r="A97" s="2">
        <v>4.4886478213433199E-3</v>
      </c>
      <c r="B97" s="2">
        <v>7.0683105254981645E-3</v>
      </c>
      <c r="C97" s="2">
        <v>0.10048369629081488</v>
      </c>
      <c r="D97" s="1">
        <f t="shared" si="7"/>
        <v>4.4886478213433199E-3</v>
      </c>
      <c r="E97" t="s">
        <v>11</v>
      </c>
      <c r="F97" s="1">
        <f>-B97</f>
        <v>-7.0683105254981645E-3</v>
      </c>
      <c r="G97" s="1">
        <f t="shared" si="8"/>
        <v>0.10048369629081488</v>
      </c>
      <c r="H97" s="1" t="str">
        <f>H96</f>
        <v>JAPAN</v>
      </c>
      <c r="I97" s="1">
        <f t="shared" ref="I97:I101" si="10">G97</f>
        <v>0.10048369629081488</v>
      </c>
    </row>
    <row r="98" spans="1:9" x14ac:dyDescent="0.2">
      <c r="A98" s="2">
        <v>2.4104441771149128E-2</v>
      </c>
      <c r="B98" s="2">
        <v>5.0428063581991069E-2</v>
      </c>
      <c r="C98" s="2">
        <v>7.1521609053426749E-2</v>
      </c>
      <c r="D98" s="1">
        <f t="shared" si="7"/>
        <v>2.4104441771149128E-2</v>
      </c>
      <c r="E98" t="s">
        <v>11</v>
      </c>
      <c r="F98" s="1">
        <f>-A98</f>
        <v>-2.4104441771149128E-2</v>
      </c>
      <c r="G98" s="1">
        <f t="shared" si="8"/>
        <v>7.1521609053426749E-2</v>
      </c>
      <c r="H98" s="1" t="str">
        <f t="shared" ref="H98:H101" si="11">H97</f>
        <v>JAPAN</v>
      </c>
      <c r="I98" s="1">
        <f t="shared" si="10"/>
        <v>7.1521609053426749E-2</v>
      </c>
    </row>
    <row r="99" spans="1:9" x14ac:dyDescent="0.2">
      <c r="A99" s="2">
        <v>-5.1944761944972988E-2</v>
      </c>
      <c r="B99" s="2">
        <v>1.1060603026480141E-2</v>
      </c>
      <c r="C99" s="2">
        <v>3.7769354662051002E-2</v>
      </c>
      <c r="D99" s="1">
        <f t="shared" ref="D99:D130" si="12">MIN(A99:C99)</f>
        <v>-5.1944761944972988E-2</v>
      </c>
      <c r="E99" t="s">
        <v>11</v>
      </c>
      <c r="F99" s="1">
        <f t="shared" ref="F99:F101" si="13">-A99</f>
        <v>5.1944761944972988E-2</v>
      </c>
      <c r="G99" s="1">
        <f t="shared" si="8"/>
        <v>3.7769354662051002E-2</v>
      </c>
      <c r="H99" s="1" t="str">
        <f t="shared" si="11"/>
        <v>JAPAN</v>
      </c>
      <c r="I99" s="1">
        <f t="shared" si="10"/>
        <v>3.7769354662051002E-2</v>
      </c>
    </row>
    <row r="100" spans="1:9" x14ac:dyDescent="0.2">
      <c r="A100" s="2">
        <v>-1.3662723192274032E-3</v>
      </c>
      <c r="B100" s="2">
        <v>3.5987799403174259E-2</v>
      </c>
      <c r="C100" s="2">
        <v>7.2542943553968398E-2</v>
      </c>
      <c r="D100" s="1">
        <f t="shared" si="12"/>
        <v>-1.3662723192274032E-3</v>
      </c>
      <c r="E100" t="s">
        <v>11</v>
      </c>
      <c r="F100" s="1">
        <f t="shared" si="13"/>
        <v>1.3662723192274032E-3</v>
      </c>
      <c r="G100" s="1">
        <f t="shared" si="8"/>
        <v>7.2542943553968398E-2</v>
      </c>
      <c r="H100" s="1" t="str">
        <f t="shared" si="11"/>
        <v>JAPAN</v>
      </c>
      <c r="I100" s="1">
        <f t="shared" si="10"/>
        <v>7.2542943553968398E-2</v>
      </c>
    </row>
    <row r="101" spans="1:9" x14ac:dyDescent="0.2">
      <c r="A101" s="2">
        <v>3.5486205236101305E-2</v>
      </c>
      <c r="B101" s="2">
        <v>1.8085763992887974E-2</v>
      </c>
      <c r="C101" s="2">
        <v>0.11799972737340414</v>
      </c>
      <c r="D101" s="1">
        <f t="shared" si="12"/>
        <v>1.8085763992887974E-2</v>
      </c>
      <c r="E101" t="s">
        <v>3</v>
      </c>
      <c r="F101" s="1">
        <f t="shared" si="13"/>
        <v>-3.5486205236101305E-2</v>
      </c>
      <c r="G101" s="1">
        <f t="shared" si="8"/>
        <v>0.11799972737340414</v>
      </c>
      <c r="H101" s="1" t="str">
        <f t="shared" si="11"/>
        <v>JAPAN</v>
      </c>
      <c r="I101" s="1">
        <f t="shared" si="10"/>
        <v>0.11799972737340414</v>
      </c>
    </row>
    <row r="102" spans="1:9" x14ac:dyDescent="0.2">
      <c r="A102" s="2">
        <v>1.3131544110031746E-2</v>
      </c>
      <c r="B102" s="2">
        <v>2.0762783477406357E-2</v>
      </c>
      <c r="C102" s="2">
        <v>-6.2276078107706967E-3</v>
      </c>
      <c r="D102" s="1">
        <f t="shared" si="12"/>
        <v>-6.2276078107706967E-3</v>
      </c>
      <c r="E102" t="s">
        <v>12</v>
      </c>
      <c r="F102" s="1">
        <f>-B102</f>
        <v>-2.0762783477406357E-2</v>
      </c>
      <c r="G102" s="1">
        <f t="shared" si="8"/>
        <v>2.0762783477406357E-2</v>
      </c>
      <c r="H102" s="1" t="s">
        <v>3</v>
      </c>
      <c r="I102" s="1">
        <f>C102</f>
        <v>-6.2276078107706967E-3</v>
      </c>
    </row>
    <row r="103" spans="1:9" x14ac:dyDescent="0.2">
      <c r="A103" s="2">
        <v>-1.8445570158347697E-2</v>
      </c>
      <c r="B103" s="2">
        <v>-1.4999325459607317E-2</v>
      </c>
      <c r="C103" s="2">
        <v>-7.0579489405817597E-3</v>
      </c>
      <c r="D103" s="1">
        <f t="shared" si="12"/>
        <v>-1.8445570158347697E-2</v>
      </c>
      <c r="E103" t="s">
        <v>11</v>
      </c>
      <c r="F103" s="1">
        <f>-C103</f>
        <v>7.0579489405817597E-3</v>
      </c>
      <c r="G103" s="1">
        <f t="shared" si="8"/>
        <v>-7.0579489405817597E-3</v>
      </c>
      <c r="H103" s="1" t="str">
        <f>H101</f>
        <v>JAPAN</v>
      </c>
      <c r="I103" s="1">
        <f>B103</f>
        <v>-1.4999325459607317E-2</v>
      </c>
    </row>
    <row r="104" spans="1:9" x14ac:dyDescent="0.2">
      <c r="A104" s="2">
        <v>-2.5835476837523454E-3</v>
      </c>
      <c r="B104" s="2">
        <v>4.9462111213487092E-2</v>
      </c>
      <c r="C104" s="2">
        <v>-6.5802364790767953E-4</v>
      </c>
      <c r="D104" s="1">
        <f t="shared" si="12"/>
        <v>-2.5835476837523454E-3</v>
      </c>
      <c r="E104" t="s">
        <v>11</v>
      </c>
      <c r="F104" s="1">
        <f>-A104</f>
        <v>2.5835476837523454E-3</v>
      </c>
      <c r="G104" s="1">
        <f t="shared" si="8"/>
        <v>4.9462111213487092E-2</v>
      </c>
      <c r="H104" s="1" t="s">
        <v>3</v>
      </c>
      <c r="I104" s="1">
        <f>C104</f>
        <v>-6.5802364790767953E-4</v>
      </c>
    </row>
    <row r="105" spans="1:9" x14ac:dyDescent="0.2">
      <c r="A105" s="2">
        <v>-3.75266855166781E-2</v>
      </c>
      <c r="B105" s="2">
        <v>-3.1298013323604608E-2</v>
      </c>
      <c r="C105" s="2">
        <v>-2.0445819237477569E-2</v>
      </c>
      <c r="D105" s="1">
        <f t="shared" si="12"/>
        <v>-3.75266855166781E-2</v>
      </c>
      <c r="E105" t="s">
        <v>11</v>
      </c>
      <c r="F105" s="1">
        <f t="shared" ref="F105:F106" si="14">-A105</f>
        <v>3.75266855166781E-2</v>
      </c>
      <c r="G105" s="1">
        <f t="shared" si="8"/>
        <v>-2.0445819237477569E-2</v>
      </c>
      <c r="H105" s="1" t="str">
        <f>H103</f>
        <v>JAPAN</v>
      </c>
      <c r="I105" s="1">
        <f>B105</f>
        <v>-3.1298013323604608E-2</v>
      </c>
    </row>
    <row r="106" spans="1:9" x14ac:dyDescent="0.2">
      <c r="A106" s="2">
        <v>4.0819625644209434E-2</v>
      </c>
      <c r="B106" s="2">
        <v>2.9749474883188257E-2</v>
      </c>
      <c r="C106" s="2">
        <v>7.9688636672576862E-2</v>
      </c>
      <c r="D106" s="1">
        <f t="shared" si="12"/>
        <v>2.9749474883188257E-2</v>
      </c>
      <c r="E106" t="s">
        <v>3</v>
      </c>
      <c r="F106" s="1">
        <f t="shared" si="14"/>
        <v>-4.0819625644209434E-2</v>
      </c>
      <c r="G106" s="1">
        <f t="shared" si="8"/>
        <v>7.9688636672576862E-2</v>
      </c>
      <c r="H106" s="1" t="str">
        <f>H105</f>
        <v>JAPAN</v>
      </c>
      <c r="I106" s="1">
        <f>G106</f>
        <v>7.9688636672576862E-2</v>
      </c>
    </row>
    <row r="107" spans="1:9" x14ac:dyDescent="0.2">
      <c r="A107" s="2">
        <v>9.2093456217488642E-2</v>
      </c>
      <c r="B107" s="2">
        <v>4.4595759864410819E-2</v>
      </c>
      <c r="C107" s="2">
        <v>-8.8448927074252781E-3</v>
      </c>
      <c r="D107" s="1">
        <f t="shared" si="12"/>
        <v>-8.8448927074252781E-3</v>
      </c>
      <c r="E107" t="s">
        <v>12</v>
      </c>
      <c r="F107" s="1">
        <f>-B107</f>
        <v>-4.4595759864410819E-2</v>
      </c>
      <c r="G107" s="1">
        <f t="shared" si="8"/>
        <v>9.2093456217488642E-2</v>
      </c>
      <c r="H107" s="1" t="s">
        <v>8</v>
      </c>
      <c r="I107" s="1">
        <f>C107</f>
        <v>-8.8448927074252781E-3</v>
      </c>
    </row>
    <row r="108" spans="1:9" x14ac:dyDescent="0.2">
      <c r="A108" s="2">
        <v>-1.7604462562817402E-2</v>
      </c>
      <c r="B108" s="2">
        <v>2.804946087194142E-2</v>
      </c>
      <c r="C108" s="2">
        <v>9.3099915270443701E-2</v>
      </c>
      <c r="D108" s="1">
        <f t="shared" ref="D108:D171" si="15">MIN(A108:C108)</f>
        <v>-1.7604462562817402E-2</v>
      </c>
      <c r="E108" t="s">
        <v>11</v>
      </c>
      <c r="F108" s="1">
        <f>-C108</f>
        <v>-9.3099915270443701E-2</v>
      </c>
      <c r="G108" s="1">
        <f t="shared" si="8"/>
        <v>9.3099915270443701E-2</v>
      </c>
      <c r="H108" s="1" t="str">
        <f>H106</f>
        <v>JAPAN</v>
      </c>
      <c r="I108" s="1">
        <f>A108</f>
        <v>-1.7604462562817402E-2</v>
      </c>
    </row>
    <row r="109" spans="1:9" x14ac:dyDescent="0.2">
      <c r="A109" s="2">
        <v>1.8216202151507821E-2</v>
      </c>
      <c r="B109" s="2">
        <v>2.3562833299184276E-2</v>
      </c>
      <c r="C109" s="2">
        <v>4.0189326051103702E-2</v>
      </c>
      <c r="D109" s="1">
        <f t="shared" si="15"/>
        <v>1.8216202151507821E-2</v>
      </c>
      <c r="E109" t="s">
        <v>11</v>
      </c>
      <c r="F109" s="1">
        <f>-A109</f>
        <v>-1.8216202151507821E-2</v>
      </c>
      <c r="G109" s="1">
        <f t="shared" si="8"/>
        <v>4.0189326051103702E-2</v>
      </c>
      <c r="H109" s="1" t="str">
        <f t="shared" ref="H109" si="16">H108</f>
        <v>JAPAN</v>
      </c>
      <c r="I109" s="1">
        <f>C109</f>
        <v>4.0189326051103702E-2</v>
      </c>
    </row>
    <row r="110" spans="1:9" x14ac:dyDescent="0.2">
      <c r="A110" s="2">
        <v>-3.1025455960791138E-2</v>
      </c>
      <c r="B110" s="2">
        <v>-3.5582895107013776E-2</v>
      </c>
      <c r="C110" s="2">
        <v>-8.4510085438187499E-2</v>
      </c>
      <c r="D110" s="1">
        <f t="shared" si="15"/>
        <v>-8.4510085438187499E-2</v>
      </c>
      <c r="E110" t="s">
        <v>12</v>
      </c>
      <c r="F110" s="1">
        <f>-A110</f>
        <v>3.1025455960791138E-2</v>
      </c>
      <c r="G110" s="1">
        <f t="shared" si="8"/>
        <v>-3.1025455960791138E-2</v>
      </c>
      <c r="H110" s="1" t="s">
        <v>8</v>
      </c>
      <c r="I110" s="4">
        <f>C110</f>
        <v>-8.4510085438187499E-2</v>
      </c>
    </row>
    <row r="111" spans="1:9" x14ac:dyDescent="0.2">
      <c r="A111" s="2">
        <v>2.9554179249628932E-2</v>
      </c>
      <c r="B111" s="2">
        <v>4.3117037568930677E-2</v>
      </c>
      <c r="C111" s="2">
        <v>-4.9253982525765405E-3</v>
      </c>
      <c r="D111" s="1">
        <f t="shared" si="15"/>
        <v>-4.9253982525765405E-3</v>
      </c>
      <c r="E111" t="s">
        <v>12</v>
      </c>
      <c r="F111" s="1">
        <f>-C111</f>
        <v>4.9253982525765405E-3</v>
      </c>
      <c r="G111" s="1">
        <f t="shared" si="8"/>
        <v>4.3117037568930677E-2</v>
      </c>
      <c r="H111" s="1" t="s">
        <v>3</v>
      </c>
      <c r="I111" s="4">
        <f>A111</f>
        <v>2.9554179249628932E-2</v>
      </c>
    </row>
    <row r="112" spans="1:9" x14ac:dyDescent="0.2">
      <c r="A112" s="2">
        <v>5.9949943466230379E-2</v>
      </c>
      <c r="B112" s="2">
        <v>6.9321573583585854E-3</v>
      </c>
      <c r="C112" s="2">
        <v>-8.921189644681693E-4</v>
      </c>
      <c r="D112" s="1">
        <f t="shared" si="15"/>
        <v>-8.921189644681693E-4</v>
      </c>
      <c r="E112" t="s">
        <v>12</v>
      </c>
      <c r="F112" s="1">
        <f t="shared" ref="F112:F114" si="17">-C112</f>
        <v>8.921189644681693E-4</v>
      </c>
      <c r="G112" s="1">
        <f t="shared" si="8"/>
        <v>5.9949943466230379E-2</v>
      </c>
      <c r="H112" s="1" t="s">
        <v>8</v>
      </c>
      <c r="I112" s="4">
        <f>B112</f>
        <v>6.9321573583585854E-3</v>
      </c>
    </row>
    <row r="113" spans="1:9" x14ac:dyDescent="0.2">
      <c r="A113" s="2">
        <v>1.4084525917001285E-3</v>
      </c>
      <c r="B113" s="2">
        <v>6.2007968638175372E-3</v>
      </c>
      <c r="C113" s="2">
        <v>-3.5320070435120976E-2</v>
      </c>
      <c r="D113" s="1">
        <f t="shared" si="15"/>
        <v>-3.5320070435120976E-2</v>
      </c>
      <c r="E113" t="s">
        <v>12</v>
      </c>
      <c r="F113" s="1">
        <f t="shared" si="17"/>
        <v>3.5320070435120976E-2</v>
      </c>
      <c r="G113" s="1">
        <f t="shared" si="8"/>
        <v>6.2007968638175372E-3</v>
      </c>
      <c r="H113" s="1" t="s">
        <v>3</v>
      </c>
      <c r="I113" s="1">
        <f>A113</f>
        <v>1.4084525917001285E-3</v>
      </c>
    </row>
    <row r="114" spans="1:9" x14ac:dyDescent="0.2">
      <c r="A114" s="2">
        <v>8.027281892067914E-2</v>
      </c>
      <c r="B114" s="2">
        <v>2.1030282120013743E-2</v>
      </c>
      <c r="C114" s="2">
        <v>2.2949348124420066E-2</v>
      </c>
      <c r="D114" s="1">
        <f t="shared" si="15"/>
        <v>2.1030282120013743E-2</v>
      </c>
      <c r="E114" t="s">
        <v>3</v>
      </c>
      <c r="F114" s="1">
        <f t="shared" si="17"/>
        <v>-2.2949348124420066E-2</v>
      </c>
      <c r="G114" s="1">
        <f t="shared" si="8"/>
        <v>8.027281892067914E-2</v>
      </c>
      <c r="H114" s="1" t="s">
        <v>8</v>
      </c>
      <c r="I114" s="4">
        <f>B114</f>
        <v>2.1030282120013743E-2</v>
      </c>
    </row>
    <row r="115" spans="1:9" x14ac:dyDescent="0.2">
      <c r="A115" s="2">
        <v>4.9404269833103004E-2</v>
      </c>
      <c r="B115" s="2">
        <v>1.9058313448431865E-2</v>
      </c>
      <c r="C115" s="2">
        <v>3.6201902903013838E-2</v>
      </c>
      <c r="D115" s="1">
        <f t="shared" si="15"/>
        <v>1.9058313448431865E-2</v>
      </c>
      <c r="E115" t="s">
        <v>3</v>
      </c>
      <c r="F115" s="1">
        <f>-B115</f>
        <v>-1.9058313448431865E-2</v>
      </c>
      <c r="G115" s="1">
        <f t="shared" si="8"/>
        <v>4.9404269833103004E-2</v>
      </c>
      <c r="H115" s="1" t="str">
        <f>H114</f>
        <v>INDIA</v>
      </c>
      <c r="I115" s="1">
        <f>G115</f>
        <v>4.9404269833103004E-2</v>
      </c>
    </row>
    <row r="116" spans="1:9" x14ac:dyDescent="0.2">
      <c r="A116" s="2">
        <v>1.8934216004073474E-2</v>
      </c>
      <c r="B116" s="2">
        <v>-1.5079863077291922E-2</v>
      </c>
      <c r="C116" s="2">
        <v>3.0251086590907583E-2</v>
      </c>
      <c r="D116" s="1">
        <f t="shared" si="15"/>
        <v>-1.5079863077291922E-2</v>
      </c>
      <c r="E116" t="s">
        <v>3</v>
      </c>
      <c r="F116" s="1">
        <f t="shared" ref="F116:F117" si="18">-B116</f>
        <v>1.5079863077291922E-2</v>
      </c>
      <c r="G116" s="1">
        <f t="shared" si="8"/>
        <v>3.0251086590907583E-2</v>
      </c>
      <c r="H116" s="1" t="s">
        <v>5</v>
      </c>
      <c r="I116" s="1">
        <f>A116</f>
        <v>1.8934216004073474E-2</v>
      </c>
    </row>
    <row r="117" spans="1:9" x14ac:dyDescent="0.2">
      <c r="A117" s="2">
        <v>2.8698237534162015E-2</v>
      </c>
      <c r="B117" s="2">
        <v>3.7655321727690289E-2</v>
      </c>
      <c r="C117" s="2">
        <v>-1.2558919950809155E-2</v>
      </c>
      <c r="D117" s="1">
        <f t="shared" si="15"/>
        <v>-1.2558919950809155E-2</v>
      </c>
      <c r="E117" t="s">
        <v>12</v>
      </c>
      <c r="F117" s="1">
        <f t="shared" si="18"/>
        <v>-3.7655321727690289E-2</v>
      </c>
      <c r="G117" s="1">
        <f t="shared" si="8"/>
        <v>3.7655321727690289E-2</v>
      </c>
      <c r="H117" s="1" t="s">
        <v>3</v>
      </c>
      <c r="I117" s="1">
        <f>C117</f>
        <v>-1.2558919950809155E-2</v>
      </c>
    </row>
    <row r="118" spans="1:9" x14ac:dyDescent="0.2">
      <c r="A118" s="2">
        <v>-2.8530552655583232E-4</v>
      </c>
      <c r="B118" s="2">
        <v>-1.5513859147336702E-2</v>
      </c>
      <c r="C118" s="2">
        <v>4.8554288963272407E-2</v>
      </c>
      <c r="D118" s="1">
        <f t="shared" si="15"/>
        <v>-1.5513859147336702E-2</v>
      </c>
      <c r="E118" t="s">
        <v>3</v>
      </c>
      <c r="F118" s="1">
        <f>-C118</f>
        <v>-4.8554288963272407E-2</v>
      </c>
      <c r="G118" s="1">
        <f t="shared" si="8"/>
        <v>4.8554288963272407E-2</v>
      </c>
      <c r="H118" s="1" t="s">
        <v>5</v>
      </c>
      <c r="I118" s="1">
        <f>B118</f>
        <v>-1.5513859147336702E-2</v>
      </c>
    </row>
    <row r="119" spans="1:9" x14ac:dyDescent="0.2">
      <c r="A119" s="2">
        <v>4.6387395509887096E-2</v>
      </c>
      <c r="B119" s="2">
        <v>2.3201456175308902E-2</v>
      </c>
      <c r="C119" s="2">
        <v>1.4853909353065964E-2</v>
      </c>
      <c r="D119" s="1">
        <f t="shared" si="15"/>
        <v>1.4853909353065964E-2</v>
      </c>
      <c r="E119" t="s">
        <v>12</v>
      </c>
      <c r="F119" s="1">
        <f>-B119</f>
        <v>-2.3201456175308902E-2</v>
      </c>
      <c r="G119" s="1">
        <f t="shared" si="8"/>
        <v>4.6387395509887096E-2</v>
      </c>
      <c r="H119" s="1" t="str">
        <f>H115</f>
        <v>INDIA</v>
      </c>
      <c r="I119" s="4">
        <f>C119</f>
        <v>1.4853909353065964E-2</v>
      </c>
    </row>
    <row r="120" spans="1:9" x14ac:dyDescent="0.2">
      <c r="A120" s="2">
        <v>2.9719552584652954E-2</v>
      </c>
      <c r="B120" s="2">
        <v>2.4533584400782932E-2</v>
      </c>
      <c r="C120" s="2">
        <v>6.3732502485719378E-2</v>
      </c>
      <c r="D120" s="1">
        <f t="shared" si="15"/>
        <v>2.4533584400782932E-2</v>
      </c>
      <c r="E120" t="s">
        <v>3</v>
      </c>
      <c r="F120" s="1">
        <f>-C120</f>
        <v>-6.3732502485719378E-2</v>
      </c>
      <c r="G120" s="1">
        <f t="shared" si="8"/>
        <v>6.3732502485719378E-2</v>
      </c>
      <c r="H120" s="1" t="str">
        <f>H118</f>
        <v>JAPAN</v>
      </c>
      <c r="I120" s="4">
        <f>A120</f>
        <v>2.9719552584652954E-2</v>
      </c>
    </row>
    <row r="121" spans="1:9" x14ac:dyDescent="0.2">
      <c r="A121" s="2">
        <v>-4.1631366010791919E-2</v>
      </c>
      <c r="B121" s="2">
        <v>-4.1885120625277401E-3</v>
      </c>
      <c r="C121" s="2">
        <v>-5.2005028680079946E-4</v>
      </c>
      <c r="D121" s="1">
        <f t="shared" si="15"/>
        <v>-4.1631366010791919E-2</v>
      </c>
      <c r="E121" t="s">
        <v>11</v>
      </c>
      <c r="F121" s="1">
        <f>-B121</f>
        <v>4.1885120625277401E-3</v>
      </c>
      <c r="G121" s="1">
        <f t="shared" si="8"/>
        <v>-5.2005028680079946E-4</v>
      </c>
      <c r="H121" s="4" t="str">
        <f>H120</f>
        <v>JAPAN</v>
      </c>
      <c r="I121" s="1">
        <f>G121</f>
        <v>-5.2005028680079946E-4</v>
      </c>
    </row>
    <row r="122" spans="1:9" x14ac:dyDescent="0.2">
      <c r="A122" s="2">
        <v>6.1220563924621052E-2</v>
      </c>
      <c r="B122" s="2">
        <v>-3.1040847054252307E-2</v>
      </c>
      <c r="C122" s="2">
        <v>1.2814334267198468E-2</v>
      </c>
      <c r="D122" s="1">
        <f t="shared" si="15"/>
        <v>-3.1040847054252307E-2</v>
      </c>
      <c r="E122" t="s">
        <v>3</v>
      </c>
      <c r="F122" s="1">
        <f>-C122</f>
        <v>-1.2814334267198468E-2</v>
      </c>
      <c r="G122" s="1">
        <f t="shared" si="8"/>
        <v>6.1220563924621052E-2</v>
      </c>
      <c r="H122" s="1" t="s">
        <v>8</v>
      </c>
      <c r="I122" s="1">
        <f>C122</f>
        <v>1.2814334267198468E-2</v>
      </c>
    </row>
    <row r="123" spans="1:9" x14ac:dyDescent="0.2">
      <c r="A123" s="2">
        <v>1.2736889176727594E-3</v>
      </c>
      <c r="B123" s="2">
        <v>5.4892505726845744E-2</v>
      </c>
      <c r="C123" s="2">
        <v>6.3569379197811138E-2</v>
      </c>
      <c r="D123" s="1">
        <f t="shared" si="15"/>
        <v>1.2736889176727594E-3</v>
      </c>
      <c r="E123" t="s">
        <v>11</v>
      </c>
      <c r="F123" s="1">
        <f>-B123</f>
        <v>-5.4892505726845744E-2</v>
      </c>
      <c r="G123" s="1">
        <f t="shared" si="8"/>
        <v>6.3569379197811138E-2</v>
      </c>
      <c r="H123" s="4" t="str">
        <f>H121</f>
        <v>JAPAN</v>
      </c>
      <c r="I123" s="4">
        <f>A123</f>
        <v>1.2736889176727594E-3</v>
      </c>
    </row>
    <row r="124" spans="1:9" x14ac:dyDescent="0.2">
      <c r="A124" s="2">
        <v>-4.3210979284137009E-2</v>
      </c>
      <c r="B124" s="2">
        <v>-1.7396056070325554E-2</v>
      </c>
      <c r="C124" s="2">
        <v>2.1760363103616731E-2</v>
      </c>
      <c r="D124" s="1">
        <f t="shared" si="15"/>
        <v>-4.3210979284137009E-2</v>
      </c>
      <c r="E124" t="s">
        <v>11</v>
      </c>
      <c r="F124" s="1">
        <f>-A124</f>
        <v>4.3210979284137009E-2</v>
      </c>
      <c r="G124" s="1">
        <f t="shared" si="8"/>
        <v>2.1760363103616731E-2</v>
      </c>
      <c r="H124" s="4" t="s">
        <v>5</v>
      </c>
      <c r="I124" s="1">
        <f>G124</f>
        <v>2.1760363103616731E-2</v>
      </c>
    </row>
    <row r="125" spans="1:9" x14ac:dyDescent="0.2">
      <c r="A125" s="2">
        <v>-3.3843524579638594E-2</v>
      </c>
      <c r="B125" s="2">
        <v>8.5207627098154871E-3</v>
      </c>
      <c r="C125" s="2">
        <v>1.6297191803608779E-2</v>
      </c>
      <c r="D125" s="1">
        <f t="shared" si="15"/>
        <v>-3.3843524579638594E-2</v>
      </c>
      <c r="E125" t="s">
        <v>11</v>
      </c>
      <c r="F125" s="1">
        <f t="shared" ref="F125:F126" si="19">-A125</f>
        <v>3.3843524579638594E-2</v>
      </c>
      <c r="G125" s="1">
        <f t="shared" si="8"/>
        <v>1.6297191803608779E-2</v>
      </c>
      <c r="H125" s="4" t="str">
        <f t="shared" ref="H125:H126" si="20">H123</f>
        <v>JAPAN</v>
      </c>
      <c r="I125" s="1">
        <f t="shared" ref="I125:I126" si="21">G125</f>
        <v>1.6297191803608779E-2</v>
      </c>
    </row>
    <row r="126" spans="1:9" x14ac:dyDescent="0.2">
      <c r="A126" s="2">
        <v>3.0251402097861872E-2</v>
      </c>
      <c r="B126" s="2">
        <v>1.0491438545008008E-2</v>
      </c>
      <c r="C126" s="2">
        <v>5.3439521803523737E-2</v>
      </c>
      <c r="D126" s="1">
        <f t="shared" si="15"/>
        <v>1.0491438545008008E-2</v>
      </c>
      <c r="E126" t="s">
        <v>3</v>
      </c>
      <c r="F126" s="1">
        <f t="shared" si="19"/>
        <v>-3.0251402097861872E-2</v>
      </c>
      <c r="G126" s="1">
        <f t="shared" si="8"/>
        <v>5.3439521803523737E-2</v>
      </c>
      <c r="H126" s="4" t="str">
        <f t="shared" si="20"/>
        <v>JAPAN</v>
      </c>
      <c r="I126" s="1">
        <f t="shared" si="21"/>
        <v>5.3439521803523737E-2</v>
      </c>
    </row>
    <row r="127" spans="1:9" x14ac:dyDescent="0.2">
      <c r="A127" s="2">
        <v>-1.71083970211758E-3</v>
      </c>
      <c r="B127" s="2">
        <v>-2.1011772856471631E-2</v>
      </c>
      <c r="C127" s="2">
        <v>-1.5922657764010029E-2</v>
      </c>
      <c r="D127" s="1">
        <f t="shared" si="15"/>
        <v>-2.1011772856471631E-2</v>
      </c>
      <c r="E127" t="s">
        <v>3</v>
      </c>
      <c r="F127" s="1">
        <f>-B127</f>
        <v>2.1011772856471631E-2</v>
      </c>
      <c r="G127" s="1">
        <f t="shared" si="8"/>
        <v>-1.71083970211758E-3</v>
      </c>
      <c r="H127" s="1" t="s">
        <v>8</v>
      </c>
      <c r="I127" s="1">
        <f>C127</f>
        <v>-1.5922657764010029E-2</v>
      </c>
    </row>
    <row r="128" spans="1:9" x14ac:dyDescent="0.2">
      <c r="A128" s="2">
        <v>1.2012960015953431E-2</v>
      </c>
      <c r="B128" s="2">
        <v>1.9742039930008587E-2</v>
      </c>
      <c r="C128" s="2">
        <v>1.727192446232495E-2</v>
      </c>
      <c r="D128" s="1">
        <f t="shared" si="15"/>
        <v>1.2012960015953431E-2</v>
      </c>
      <c r="E128" t="s">
        <v>11</v>
      </c>
      <c r="F128" s="1">
        <f>-B128</f>
        <v>-1.9742039930008587E-2</v>
      </c>
      <c r="G128" s="1">
        <f t="shared" si="8"/>
        <v>1.9742039930008587E-2</v>
      </c>
      <c r="H128" s="1" t="s">
        <v>3</v>
      </c>
      <c r="I128" s="1">
        <f>A128</f>
        <v>1.2012960015953431E-2</v>
      </c>
    </row>
    <row r="129" spans="1:9" x14ac:dyDescent="0.2">
      <c r="A129" s="2">
        <v>-6.5143114457419965E-2</v>
      </c>
      <c r="B129" s="2">
        <v>-6.2580804623925804E-2</v>
      </c>
      <c r="C129" s="2">
        <v>-8.2328891963368012E-2</v>
      </c>
      <c r="D129" s="1">
        <f t="shared" si="15"/>
        <v>-8.2328891963368012E-2</v>
      </c>
      <c r="E129" t="s">
        <v>12</v>
      </c>
      <c r="F129" s="1">
        <f>-A129</f>
        <v>6.5143114457419965E-2</v>
      </c>
      <c r="G129" s="1">
        <f t="shared" si="8"/>
        <v>-6.2580804623925804E-2</v>
      </c>
      <c r="H129" s="1" t="str">
        <f>H128</f>
        <v>US</v>
      </c>
      <c r="I129" s="1">
        <f>G129</f>
        <v>-6.2580804623925804E-2</v>
      </c>
    </row>
    <row r="130" spans="1:9" x14ac:dyDescent="0.2">
      <c r="A130" s="2">
        <v>-4.8799437204681186E-3</v>
      </c>
      <c r="B130" s="2">
        <v>-2.6442819620927142E-2</v>
      </c>
      <c r="C130" s="2">
        <v>-7.9528418547331725E-2</v>
      </c>
      <c r="D130" s="1">
        <f t="shared" si="15"/>
        <v>-7.9528418547331725E-2</v>
      </c>
      <c r="E130" t="s">
        <v>12</v>
      </c>
      <c r="F130" s="1">
        <f>-C130</f>
        <v>7.9528418547331725E-2</v>
      </c>
      <c r="G130" s="1">
        <f t="shared" si="8"/>
        <v>-4.8799437204681186E-3</v>
      </c>
      <c r="H130" s="1" t="s">
        <v>8</v>
      </c>
      <c r="I130" s="1">
        <f>B130</f>
        <v>-2.6442819620927142E-2</v>
      </c>
    </row>
    <row r="131" spans="1:9" x14ac:dyDescent="0.2">
      <c r="A131" s="2">
        <v>1.9193395636675901E-2</v>
      </c>
      <c r="B131" s="2">
        <v>8.298307838940025E-2</v>
      </c>
      <c r="C131" s="2">
        <v>9.747730494618434E-2</v>
      </c>
      <c r="D131" s="1">
        <f t="shared" si="15"/>
        <v>1.9193395636675901E-2</v>
      </c>
      <c r="E131" t="s">
        <v>11</v>
      </c>
      <c r="F131" s="1">
        <f>-C131</f>
        <v>-9.747730494618434E-2</v>
      </c>
      <c r="G131" s="1">
        <f t="shared" ref="G131:G194" si="22">MAX(A131:C131)</f>
        <v>9.747730494618434E-2</v>
      </c>
      <c r="H131" s="4" t="str">
        <f>H126</f>
        <v>JAPAN</v>
      </c>
      <c r="I131" s="4">
        <f>A131</f>
        <v>1.9193395636675901E-2</v>
      </c>
    </row>
    <row r="132" spans="1:9" x14ac:dyDescent="0.2">
      <c r="A132" s="2">
        <v>-1.9175573389634232E-2</v>
      </c>
      <c r="B132" s="2">
        <v>5.0496306555850219E-4</v>
      </c>
      <c r="C132" s="2">
        <v>3.4814574151998512E-2</v>
      </c>
      <c r="D132" s="1">
        <f t="shared" si="15"/>
        <v>-1.9175573389634232E-2</v>
      </c>
      <c r="E132" t="s">
        <v>11</v>
      </c>
      <c r="F132" s="1">
        <f>-A132</f>
        <v>1.9175573389634232E-2</v>
      </c>
      <c r="G132" s="1">
        <f t="shared" si="22"/>
        <v>3.4814574151998512E-2</v>
      </c>
      <c r="H132" s="4" t="str">
        <f>H124</f>
        <v>JAPAN</v>
      </c>
      <c r="I132" s="4">
        <f>G132</f>
        <v>3.4814574151998512E-2</v>
      </c>
    </row>
    <row r="133" spans="1:9" x14ac:dyDescent="0.2">
      <c r="A133" s="2">
        <v>-1.0758951673450091E-3</v>
      </c>
      <c r="B133" s="2">
        <v>-1.7530198374358805E-2</v>
      </c>
      <c r="C133" s="2">
        <v>-3.6144376975886128E-2</v>
      </c>
      <c r="D133" s="1">
        <f t="shared" si="15"/>
        <v>-3.6144376975886128E-2</v>
      </c>
      <c r="E133" t="s">
        <v>12</v>
      </c>
      <c r="F133" s="1">
        <f>-A133</f>
        <v>1.0758951673450091E-3</v>
      </c>
      <c r="G133" s="1">
        <f t="shared" si="22"/>
        <v>-1.0758951673450091E-3</v>
      </c>
      <c r="H133" s="1" t="s">
        <v>8</v>
      </c>
      <c r="I133" s="4">
        <f>C133</f>
        <v>-3.6144376975886128E-2</v>
      </c>
    </row>
    <row r="134" spans="1:9" x14ac:dyDescent="0.2">
      <c r="A134" s="2">
        <v>-4.7739947943029937E-2</v>
      </c>
      <c r="B134" s="2">
        <v>-5.0735344481736278E-2</v>
      </c>
      <c r="C134" s="2">
        <v>-7.9617163443175265E-2</v>
      </c>
      <c r="D134" s="1">
        <f t="shared" si="15"/>
        <v>-7.9617163443175265E-2</v>
      </c>
      <c r="E134" t="s">
        <v>12</v>
      </c>
      <c r="F134" s="1">
        <f>-C134</f>
        <v>7.9617163443175265E-2</v>
      </c>
      <c r="G134" s="1">
        <f t="shared" si="22"/>
        <v>-4.7739947943029937E-2</v>
      </c>
      <c r="H134" s="1" t="s">
        <v>8</v>
      </c>
      <c r="I134" s="4">
        <f>A134</f>
        <v>-4.7739947943029937E-2</v>
      </c>
    </row>
    <row r="135" spans="1:9" x14ac:dyDescent="0.2">
      <c r="A135" s="2">
        <v>-7.5136234660156148E-2</v>
      </c>
      <c r="B135" s="2">
        <v>-4.1283552550199932E-3</v>
      </c>
      <c r="C135" s="2">
        <v>-8.5141823122106497E-2</v>
      </c>
      <c r="D135" s="1">
        <f t="shared" si="15"/>
        <v>-8.5141823122106497E-2</v>
      </c>
      <c r="E135" t="s">
        <v>12</v>
      </c>
      <c r="F135" s="1">
        <f t="shared" ref="F135:F138" si="23">-C135</f>
        <v>8.5141823122106497E-2</v>
      </c>
      <c r="G135" s="1">
        <f t="shared" si="22"/>
        <v>-4.1283552550199932E-3</v>
      </c>
      <c r="H135" s="4" t="str">
        <f>H128</f>
        <v>US</v>
      </c>
      <c r="I135" s="4">
        <f>A135</f>
        <v>-7.5136234660156148E-2</v>
      </c>
    </row>
    <row r="136" spans="1:9" x14ac:dyDescent="0.2">
      <c r="A136" s="2">
        <v>0.10172419789583517</v>
      </c>
      <c r="B136" s="2">
        <v>6.5991108718941205E-2</v>
      </c>
      <c r="C136" s="2">
        <v>4.5667995277897555E-2</v>
      </c>
      <c r="D136" s="1">
        <f t="shared" si="15"/>
        <v>4.5667995277897555E-2</v>
      </c>
      <c r="E136" t="s">
        <v>12</v>
      </c>
      <c r="F136" s="1">
        <f t="shared" si="23"/>
        <v>-4.5667995277897555E-2</v>
      </c>
      <c r="G136" s="1">
        <f t="shared" si="22"/>
        <v>0.10172419789583517</v>
      </c>
      <c r="H136" s="1" t="s">
        <v>8</v>
      </c>
      <c r="I136" s="4">
        <f>B136</f>
        <v>6.5991108718941205E-2</v>
      </c>
    </row>
    <row r="137" spans="1:9" x14ac:dyDescent="0.2">
      <c r="A137" s="2">
        <v>1.0447536210838446E-2</v>
      </c>
      <c r="B137" s="2">
        <v>2.6993698233759604E-3</v>
      </c>
      <c r="C137" s="2">
        <v>-5.526691557265484E-3</v>
      </c>
      <c r="D137" s="1">
        <f t="shared" si="15"/>
        <v>-5.526691557265484E-3</v>
      </c>
      <c r="E137" t="s">
        <v>12</v>
      </c>
      <c r="F137" s="1">
        <f t="shared" si="23"/>
        <v>5.526691557265484E-3</v>
      </c>
      <c r="G137" s="1">
        <f t="shared" si="22"/>
        <v>1.0447536210838446E-2</v>
      </c>
      <c r="H137" s="1" t="s">
        <v>8</v>
      </c>
      <c r="I137" s="4">
        <f>G137</f>
        <v>1.0447536210838446E-2</v>
      </c>
    </row>
    <row r="138" spans="1:9" x14ac:dyDescent="0.2">
      <c r="A138" s="2">
        <v>4.1447875588422063E-2</v>
      </c>
      <c r="B138" s="2">
        <v>1.5324650171887683E-2</v>
      </c>
      <c r="C138" s="2">
        <v>3.4137063071333573E-2</v>
      </c>
      <c r="D138" s="1">
        <f t="shared" si="15"/>
        <v>1.5324650171887683E-2</v>
      </c>
      <c r="E138" t="s">
        <v>3</v>
      </c>
      <c r="F138" s="1">
        <f t="shared" si="23"/>
        <v>-3.4137063071333573E-2</v>
      </c>
      <c r="G138" s="1">
        <f t="shared" si="22"/>
        <v>4.1447875588422063E-2</v>
      </c>
      <c r="H138" s="1" t="s">
        <v>8</v>
      </c>
      <c r="I138" s="4">
        <f t="shared" ref="I138:I139" si="24">G138</f>
        <v>4.1447875588422063E-2</v>
      </c>
    </row>
    <row r="139" spans="1:9" x14ac:dyDescent="0.2">
      <c r="A139" s="2">
        <v>1.2440396640762999E-2</v>
      </c>
      <c r="B139" s="2">
        <v>9.1084670593018875E-4</v>
      </c>
      <c r="C139" s="2">
        <v>-9.626120831007634E-2</v>
      </c>
      <c r="D139" s="1">
        <f t="shared" si="15"/>
        <v>-9.626120831007634E-2</v>
      </c>
      <c r="E139" t="s">
        <v>12</v>
      </c>
      <c r="F139" s="1">
        <f>-B139</f>
        <v>-9.1084670593018875E-4</v>
      </c>
      <c r="G139" s="1">
        <f t="shared" si="22"/>
        <v>1.2440396640762999E-2</v>
      </c>
      <c r="H139" s="1" t="s">
        <v>8</v>
      </c>
      <c r="I139" s="4">
        <f t="shared" si="24"/>
        <v>1.2440396640762999E-2</v>
      </c>
    </row>
    <row r="140" spans="1:9" x14ac:dyDescent="0.2">
      <c r="A140" s="2">
        <v>3.8968552266467928E-2</v>
      </c>
      <c r="B140" s="2">
        <v>3.5609807228685945E-2</v>
      </c>
      <c r="C140" s="2">
        <v>6.3774724061243182E-2</v>
      </c>
      <c r="D140" s="1">
        <f t="shared" si="15"/>
        <v>3.5609807228685945E-2</v>
      </c>
      <c r="E140" t="s">
        <v>3</v>
      </c>
      <c r="F140" s="1">
        <f>-C140</f>
        <v>-6.3774724061243182E-2</v>
      </c>
      <c r="G140" s="1">
        <f t="shared" si="22"/>
        <v>6.3774724061243182E-2</v>
      </c>
      <c r="H140" s="1" t="str">
        <f>H131</f>
        <v>JAPAN</v>
      </c>
      <c r="I140" s="4">
        <f>A140</f>
        <v>3.8968552266467928E-2</v>
      </c>
    </row>
    <row r="141" spans="1:9" x14ac:dyDescent="0.2">
      <c r="A141" s="2">
        <v>1.4270354978243784E-2</v>
      </c>
      <c r="B141" s="2">
        <v>-1.2191755612808663E-3</v>
      </c>
      <c r="C141" s="2">
        <v>1.9200000965643005E-2</v>
      </c>
      <c r="D141" s="1">
        <f t="shared" si="15"/>
        <v>-1.2191755612808663E-3</v>
      </c>
      <c r="E141" t="s">
        <v>3</v>
      </c>
      <c r="F141" s="1">
        <f>-B141</f>
        <v>1.2191755612808663E-3</v>
      </c>
      <c r="G141" s="1">
        <f t="shared" si="22"/>
        <v>1.9200000965643005E-2</v>
      </c>
      <c r="H141" s="1" t="str">
        <f>H132</f>
        <v>JAPAN</v>
      </c>
      <c r="I141" s="4">
        <f>G141</f>
        <v>1.9200000965643005E-2</v>
      </c>
    </row>
    <row r="142" spans="1:9" x14ac:dyDescent="0.2">
      <c r="A142" s="2">
        <v>-2.0603349410607315E-2</v>
      </c>
      <c r="B142" s="2">
        <v>-1.2344825997834296E-3</v>
      </c>
      <c r="C142" s="2">
        <v>-2.5910442104764564E-2</v>
      </c>
      <c r="D142" s="1">
        <f t="shared" si="15"/>
        <v>-2.5910442104764564E-2</v>
      </c>
      <c r="E142" t="s">
        <v>12</v>
      </c>
      <c r="F142" s="1">
        <f>-B142</f>
        <v>1.2344825997834296E-3</v>
      </c>
      <c r="G142" s="1">
        <f t="shared" si="22"/>
        <v>-1.2344825997834296E-3</v>
      </c>
      <c r="H142" s="4" t="str">
        <f>H135</f>
        <v>US</v>
      </c>
      <c r="I142" s="1">
        <f>C142</f>
        <v>-2.5910442104764564E-2</v>
      </c>
    </row>
    <row r="143" spans="1:9" x14ac:dyDescent="0.2">
      <c r="A143" s="2">
        <v>2.71119315465892E-3</v>
      </c>
      <c r="B143" s="2">
        <v>-1.9425625037472222E-2</v>
      </c>
      <c r="C143" s="2">
        <v>5.9282035569950819E-2</v>
      </c>
      <c r="D143" s="1">
        <f t="shared" si="15"/>
        <v>-1.9425625037472222E-2</v>
      </c>
      <c r="E143" t="s">
        <v>3</v>
      </c>
      <c r="F143" s="1">
        <f>-C143</f>
        <v>-5.9282035569950819E-2</v>
      </c>
      <c r="G143" s="1">
        <f t="shared" si="22"/>
        <v>5.9282035569950819E-2</v>
      </c>
      <c r="H143" s="4" t="str">
        <f>H141</f>
        <v>JAPAN</v>
      </c>
      <c r="I143" s="4">
        <f>B143</f>
        <v>-1.9425625037472222E-2</v>
      </c>
    </row>
    <row r="144" spans="1:9" x14ac:dyDescent="0.2">
      <c r="A144" s="2">
        <v>-4.6121344193638683E-2</v>
      </c>
      <c r="B144" s="2">
        <v>3.4174446769983234E-2</v>
      </c>
      <c r="C144" s="2">
        <v>5.0700659167105533E-2</v>
      </c>
      <c r="D144" s="1">
        <f t="shared" si="15"/>
        <v>-4.6121344193638683E-2</v>
      </c>
      <c r="E144" t="s">
        <v>11</v>
      </c>
      <c r="F144" s="1">
        <f>-B144</f>
        <v>-3.4174446769983234E-2</v>
      </c>
      <c r="G144" s="1">
        <f t="shared" si="22"/>
        <v>5.0700659167105533E-2</v>
      </c>
      <c r="H144" s="4" t="str">
        <f>H145</f>
        <v>JAPAN</v>
      </c>
      <c r="I144" s="4">
        <f>G144</f>
        <v>5.0700659167105533E-2</v>
      </c>
    </row>
    <row r="145" spans="1:9" x14ac:dyDescent="0.2">
      <c r="A145" s="2">
        <v>-9.8863872139568713E-4</v>
      </c>
      <c r="B145" s="2">
        <v>1.8200754044233009E-2</v>
      </c>
      <c r="C145" s="2">
        <v>4.4017307826755614E-2</v>
      </c>
      <c r="D145" s="1">
        <f t="shared" si="15"/>
        <v>-9.8863872139568713E-4</v>
      </c>
      <c r="E145" t="s">
        <v>11</v>
      </c>
      <c r="F145" s="1">
        <f>-A145</f>
        <v>9.8863872139568713E-4</v>
      </c>
      <c r="G145" s="1">
        <f t="shared" si="22"/>
        <v>4.4017307826755614E-2</v>
      </c>
      <c r="H145" s="4" t="str">
        <f t="shared" ref="H145" si="25">H143</f>
        <v>JAPAN</v>
      </c>
      <c r="I145" s="4">
        <f>G145</f>
        <v>4.4017307826755614E-2</v>
      </c>
    </row>
    <row r="146" spans="1:9" x14ac:dyDescent="0.2">
      <c r="A146" s="2">
        <v>3.8664546469940053E-2</v>
      </c>
      <c r="B146" s="2">
        <v>1.7884341374735897E-2</v>
      </c>
      <c r="C146" s="2">
        <v>-3.8206856935383282E-3</v>
      </c>
      <c r="D146" s="1">
        <f t="shared" si="15"/>
        <v>-3.8206856935383282E-3</v>
      </c>
      <c r="E146" t="s">
        <v>12</v>
      </c>
      <c r="F146" s="1">
        <f>-A146</f>
        <v>-3.8664546469940053E-2</v>
      </c>
      <c r="G146" s="1">
        <f t="shared" si="22"/>
        <v>3.8664546469940053E-2</v>
      </c>
      <c r="H146" s="1" t="s">
        <v>8</v>
      </c>
      <c r="I146" s="4">
        <f>C146</f>
        <v>-3.8206856935383282E-3</v>
      </c>
    </row>
    <row r="147" spans="1:9" x14ac:dyDescent="0.2">
      <c r="A147" s="2">
        <v>3.9317384028614469E-2</v>
      </c>
      <c r="B147" s="2">
        <v>3.7198260541408672E-2</v>
      </c>
      <c r="C147" s="2">
        <v>4.0779693025807529E-3</v>
      </c>
      <c r="D147" s="1">
        <f t="shared" si="15"/>
        <v>4.0779693025807529E-3</v>
      </c>
      <c r="E147" t="s">
        <v>12</v>
      </c>
      <c r="F147" s="1">
        <f>-C147</f>
        <v>-4.0779693025807529E-3</v>
      </c>
      <c r="G147" s="1">
        <f t="shared" si="22"/>
        <v>3.9317384028614469E-2</v>
      </c>
      <c r="H147" s="1" t="s">
        <v>8</v>
      </c>
      <c r="I147" s="4">
        <f>G147</f>
        <v>3.9317384028614469E-2</v>
      </c>
    </row>
    <row r="148" spans="1:9" x14ac:dyDescent="0.2">
      <c r="A148" s="2">
        <v>3.0517699416768847E-2</v>
      </c>
      <c r="B148" s="2">
        <v>-3.8923017041515325E-4</v>
      </c>
      <c r="C148" s="2">
        <v>-1.0969721726932447E-2</v>
      </c>
      <c r="D148" s="1">
        <f t="shared" si="15"/>
        <v>-1.0969721726932447E-2</v>
      </c>
      <c r="E148" t="s">
        <v>12</v>
      </c>
      <c r="F148" s="1">
        <f t="shared" ref="F148:F149" si="26">-C148</f>
        <v>1.0969721726932447E-2</v>
      </c>
      <c r="G148" s="1">
        <f t="shared" si="22"/>
        <v>3.0517699416768847E-2</v>
      </c>
      <c r="H148" s="1" t="s">
        <v>8</v>
      </c>
      <c r="I148" s="4">
        <f>G148</f>
        <v>3.0517699416768847E-2</v>
      </c>
    </row>
    <row r="149" spans="1:9" x14ac:dyDescent="0.2">
      <c r="A149" s="2">
        <v>1.0057223882108723E-2</v>
      </c>
      <c r="B149" s="2">
        <v>9.0912169025529985E-3</v>
      </c>
      <c r="C149" s="2">
        <v>1.5203133279673819E-2</v>
      </c>
      <c r="D149" s="1">
        <f t="shared" si="15"/>
        <v>9.0912169025529985E-3</v>
      </c>
      <c r="E149" t="s">
        <v>3</v>
      </c>
      <c r="F149" s="1">
        <f t="shared" si="26"/>
        <v>-1.5203133279673819E-2</v>
      </c>
      <c r="G149" s="1">
        <f t="shared" si="22"/>
        <v>1.5203133279673819E-2</v>
      </c>
      <c r="H149" s="1" t="s">
        <v>5</v>
      </c>
      <c r="I149" s="4">
        <f>A149</f>
        <v>1.0057223882108723E-2</v>
      </c>
    </row>
    <row r="150" spans="1:9" x14ac:dyDescent="0.2">
      <c r="A150" s="2">
        <v>4.1024921118776328E-2</v>
      </c>
      <c r="B150" s="2">
        <v>1.1576210049492646E-2</v>
      </c>
      <c r="C150" s="2">
        <v>2.3640993210305439E-2</v>
      </c>
      <c r="D150" s="1">
        <f t="shared" si="15"/>
        <v>1.1576210049492646E-2</v>
      </c>
      <c r="E150" t="s">
        <v>3</v>
      </c>
      <c r="F150" s="1">
        <f>-B150</f>
        <v>-1.1576210049492646E-2</v>
      </c>
      <c r="G150" s="1">
        <f t="shared" si="22"/>
        <v>4.1024921118776328E-2</v>
      </c>
      <c r="H150" s="1" t="s">
        <v>8</v>
      </c>
      <c r="I150" s="4">
        <f>C150</f>
        <v>2.3640993210305439E-2</v>
      </c>
    </row>
    <row r="151" spans="1:9" x14ac:dyDescent="0.2">
      <c r="A151" s="2">
        <v>-7.1980812822274171E-3</v>
      </c>
      <c r="B151" s="2">
        <v>4.81383199270241E-3</v>
      </c>
      <c r="C151" s="2">
        <v>1.948340429819595E-2</v>
      </c>
      <c r="D151" s="1">
        <f t="shared" si="15"/>
        <v>-7.1980812822274171E-3</v>
      </c>
      <c r="E151" t="s">
        <v>11</v>
      </c>
      <c r="F151" s="1">
        <f>-B151</f>
        <v>-4.81383199270241E-3</v>
      </c>
      <c r="G151" s="1">
        <f t="shared" si="22"/>
        <v>1.948340429819595E-2</v>
      </c>
      <c r="H151" s="1" t="s">
        <v>5</v>
      </c>
      <c r="I151" s="4">
        <f>A151</f>
        <v>-7.1980812822274171E-3</v>
      </c>
    </row>
    <row r="152" spans="1:9" x14ac:dyDescent="0.2">
      <c r="A152" s="2">
        <v>5.1528041392411267E-2</v>
      </c>
      <c r="B152" s="2">
        <v>1.9348768883515513E-2</v>
      </c>
      <c r="C152" s="2">
        <v>-5.4034681030656895E-3</v>
      </c>
      <c r="D152" s="1">
        <f t="shared" si="15"/>
        <v>-5.4034681030656895E-3</v>
      </c>
      <c r="E152" t="s">
        <v>12</v>
      </c>
      <c r="F152" s="1">
        <f>-A152</f>
        <v>-5.1528041392411267E-2</v>
      </c>
      <c r="G152" s="1">
        <f t="shared" si="22"/>
        <v>5.1528041392411267E-2</v>
      </c>
      <c r="H152" s="1" t="s">
        <v>8</v>
      </c>
      <c r="I152" s="4">
        <f>C152</f>
        <v>-5.4034681030656895E-3</v>
      </c>
    </row>
    <row r="153" spans="1:9" x14ac:dyDescent="0.2">
      <c r="A153" s="2">
        <v>-2.4125832617252166E-2</v>
      </c>
      <c r="B153" s="2">
        <v>5.4649232886690234E-4</v>
      </c>
      <c r="C153" s="2">
        <v>-1.3999371649340064E-2</v>
      </c>
      <c r="D153" s="1">
        <f t="shared" si="15"/>
        <v>-2.4125832617252166E-2</v>
      </c>
      <c r="E153" t="s">
        <v>11</v>
      </c>
      <c r="F153" s="1">
        <f>-C153</f>
        <v>1.3999371649340064E-2</v>
      </c>
      <c r="G153" s="1">
        <f t="shared" si="22"/>
        <v>5.4649232886690234E-4</v>
      </c>
      <c r="H153" s="1" t="s">
        <v>3</v>
      </c>
      <c r="I153" s="4">
        <f>A153</f>
        <v>-2.4125832617252166E-2</v>
      </c>
    </row>
    <row r="154" spans="1:9" x14ac:dyDescent="0.2">
      <c r="A154" s="2">
        <v>-1.4080148147727956E-2</v>
      </c>
      <c r="B154" s="2">
        <v>1.9302894827342074E-2</v>
      </c>
      <c r="C154" s="2">
        <v>3.6141266725846721E-2</v>
      </c>
      <c r="D154" s="1">
        <f t="shared" si="15"/>
        <v>-1.4080148147727956E-2</v>
      </c>
      <c r="E154" t="s">
        <v>11</v>
      </c>
      <c r="F154" s="1">
        <f>-A154</f>
        <v>1.4080148147727956E-2</v>
      </c>
      <c r="G154" s="1">
        <f t="shared" si="22"/>
        <v>3.6141266725846721E-2</v>
      </c>
      <c r="H154" s="4" t="str">
        <f>H151</f>
        <v>JAPAN</v>
      </c>
      <c r="I154" s="4">
        <f>B154</f>
        <v>1.9302894827342074E-2</v>
      </c>
    </row>
    <row r="155" spans="1:9" x14ac:dyDescent="0.2">
      <c r="A155" s="2">
        <v>6.1674570671262759E-2</v>
      </c>
      <c r="B155" s="2">
        <v>2.218817477454595E-2</v>
      </c>
      <c r="C155" s="2">
        <v>8.1317902878129011E-2</v>
      </c>
      <c r="D155" s="1">
        <f t="shared" si="15"/>
        <v>2.218817477454595E-2</v>
      </c>
      <c r="E155" t="s">
        <v>3</v>
      </c>
      <c r="F155" s="1">
        <f>-A155</f>
        <v>-6.1674570671262759E-2</v>
      </c>
      <c r="G155" s="1">
        <f t="shared" si="22"/>
        <v>8.1317902878129011E-2</v>
      </c>
      <c r="H155" s="4" t="str">
        <f>H154</f>
        <v>JAPAN</v>
      </c>
      <c r="I155" s="4">
        <f>G155</f>
        <v>8.1317902878129011E-2</v>
      </c>
    </row>
    <row r="156" spans="1:9" x14ac:dyDescent="0.2">
      <c r="A156" s="2">
        <v>-1.9203248835625803E-3</v>
      </c>
      <c r="B156" s="2">
        <v>2.8082601368405406E-2</v>
      </c>
      <c r="C156" s="2">
        <v>3.2407897468653912E-2</v>
      </c>
      <c r="D156" s="1">
        <f t="shared" si="15"/>
        <v>-1.9203248835625803E-3</v>
      </c>
      <c r="E156" t="s">
        <v>11</v>
      </c>
      <c r="F156" s="1">
        <f>-B156</f>
        <v>-2.8082601368405406E-2</v>
      </c>
      <c r="G156" s="1">
        <f t="shared" si="22"/>
        <v>3.2407897468653912E-2</v>
      </c>
      <c r="H156" s="4" t="str">
        <f>H155</f>
        <v>JAPAN</v>
      </c>
      <c r="I156" s="4">
        <f>G156</f>
        <v>3.2407897468653912E-2</v>
      </c>
    </row>
    <row r="157" spans="1:9" x14ac:dyDescent="0.2">
      <c r="A157" s="2">
        <v>2.7375499067100961E-2</v>
      </c>
      <c r="B157" s="2">
        <v>9.8316198188535195E-3</v>
      </c>
      <c r="C157" s="2">
        <v>1.7592990262689234E-3</v>
      </c>
      <c r="D157" s="1">
        <f t="shared" si="15"/>
        <v>1.7592990262689234E-3</v>
      </c>
      <c r="E157" t="s">
        <v>12</v>
      </c>
      <c r="F157" s="1">
        <f>-A157</f>
        <v>-2.7375499067100961E-2</v>
      </c>
      <c r="G157" s="1">
        <f t="shared" si="22"/>
        <v>2.7375499067100961E-2</v>
      </c>
      <c r="H157" s="1" t="s">
        <v>8</v>
      </c>
      <c r="I157" s="4">
        <f>C157</f>
        <v>1.7592990262689234E-3</v>
      </c>
    </row>
    <row r="158" spans="1:9" x14ac:dyDescent="0.2">
      <c r="A158" s="2">
        <v>5.6029583493237479E-2</v>
      </c>
      <c r="B158" s="2">
        <v>5.6178724645703677E-2</v>
      </c>
      <c r="C158" s="2">
        <v>1.4643131060305903E-2</v>
      </c>
      <c r="D158" s="1">
        <f t="shared" si="15"/>
        <v>1.4643131060305903E-2</v>
      </c>
      <c r="E158" t="s">
        <v>12</v>
      </c>
      <c r="F158" s="1">
        <f>-C158</f>
        <v>-1.4643131060305903E-2</v>
      </c>
      <c r="G158" s="1">
        <f t="shared" si="22"/>
        <v>5.6178724645703677E-2</v>
      </c>
      <c r="H158" s="1" t="s">
        <v>8</v>
      </c>
      <c r="I158" s="4">
        <f>G158</f>
        <v>5.6178724645703677E-2</v>
      </c>
    </row>
    <row r="159" spans="1:9" x14ac:dyDescent="0.2">
      <c r="A159" s="2">
        <v>-4.9519783389526714E-2</v>
      </c>
      <c r="B159" s="2">
        <v>-3.8947379604151844E-2</v>
      </c>
      <c r="C159" s="2">
        <v>-4.4594210220756603E-2</v>
      </c>
      <c r="D159" s="1">
        <f t="shared" si="15"/>
        <v>-4.9519783389526714E-2</v>
      </c>
      <c r="E159" t="s">
        <v>11</v>
      </c>
      <c r="F159" s="1">
        <f>-C159</f>
        <v>4.4594210220756603E-2</v>
      </c>
      <c r="G159" s="1">
        <f t="shared" si="22"/>
        <v>-3.8947379604151844E-2</v>
      </c>
      <c r="H159" s="1" t="s">
        <v>3</v>
      </c>
      <c r="I159" s="4">
        <f>A159</f>
        <v>-4.9519783389526714E-2</v>
      </c>
    </row>
    <row r="160" spans="1:9" x14ac:dyDescent="0.2">
      <c r="A160" s="2">
        <v>-3.5553433707660079E-2</v>
      </c>
      <c r="B160" s="2">
        <v>-2.6884513768364281E-2</v>
      </c>
      <c r="C160" s="2">
        <v>-2.7820070834828847E-2</v>
      </c>
      <c r="D160" s="1">
        <f t="shared" si="15"/>
        <v>-3.5553433707660079E-2</v>
      </c>
      <c r="E160" t="s">
        <v>11</v>
      </c>
      <c r="F160" s="1">
        <f>-A160</f>
        <v>3.5553433707660079E-2</v>
      </c>
      <c r="G160" s="1">
        <f t="shared" si="22"/>
        <v>-2.6884513768364281E-2</v>
      </c>
      <c r="H160" s="1" t="s">
        <v>3</v>
      </c>
      <c r="I160" s="4">
        <f>B160</f>
        <v>-2.6884513768364281E-2</v>
      </c>
    </row>
    <row r="161" spans="1:9" x14ac:dyDescent="0.2">
      <c r="A161" s="2">
        <v>6.6477638777166698E-2</v>
      </c>
      <c r="B161" s="2">
        <v>2.718801001185326E-3</v>
      </c>
      <c r="C161" s="2">
        <v>4.7243209985877055E-2</v>
      </c>
      <c r="D161" s="1">
        <f t="shared" si="15"/>
        <v>2.718801001185326E-3</v>
      </c>
      <c r="E161" t="s">
        <v>3</v>
      </c>
      <c r="F161" s="1">
        <f>-A161</f>
        <v>-6.6477638777166698E-2</v>
      </c>
      <c r="G161" s="1">
        <f t="shared" si="22"/>
        <v>6.6477638777166698E-2</v>
      </c>
      <c r="H161" s="1" t="s">
        <v>8</v>
      </c>
      <c r="I161" s="4">
        <f>B161</f>
        <v>2.718801001185326E-3</v>
      </c>
    </row>
    <row r="162" spans="1:9" x14ac:dyDescent="0.2">
      <c r="A162" s="2">
        <v>4.6080301794406203E-3</v>
      </c>
      <c r="B162" s="2">
        <v>2.1608353316591378E-2</v>
      </c>
      <c r="C162" s="2">
        <v>-1.1841353897810492E-2</v>
      </c>
      <c r="D162" s="1">
        <f t="shared" si="15"/>
        <v>-1.1841353897810492E-2</v>
      </c>
      <c r="E162" t="s">
        <v>12</v>
      </c>
      <c r="F162" s="1">
        <f>-B162</f>
        <v>-2.1608353316591378E-2</v>
      </c>
      <c r="G162" s="1">
        <f t="shared" si="22"/>
        <v>2.1608353316591378E-2</v>
      </c>
      <c r="H162" s="1" t="s">
        <v>3</v>
      </c>
      <c r="I162" s="4">
        <f>A162</f>
        <v>4.6080301794406203E-3</v>
      </c>
    </row>
    <row r="163" spans="1:9" x14ac:dyDescent="0.2">
      <c r="A163" s="2">
        <v>2.8622080392093009E-3</v>
      </c>
      <c r="B163" s="2">
        <v>4.842400204046143E-3</v>
      </c>
      <c r="C163" s="2">
        <v>4.6252964847024458E-3</v>
      </c>
      <c r="D163" s="1">
        <f t="shared" si="15"/>
        <v>2.8622080392093009E-3</v>
      </c>
      <c r="E163" t="s">
        <v>11</v>
      </c>
      <c r="F163" s="1">
        <f>-C163</f>
        <v>-4.6252964847024458E-3</v>
      </c>
      <c r="G163" s="1">
        <f t="shared" si="22"/>
        <v>4.842400204046143E-3</v>
      </c>
      <c r="H163" s="1" t="s">
        <v>3</v>
      </c>
      <c r="I163" s="4">
        <f>B163</f>
        <v>4.842400204046143E-3</v>
      </c>
    </row>
    <row r="164" spans="1:9" x14ac:dyDescent="0.2">
      <c r="A164" s="2">
        <v>6.1628614692853391E-2</v>
      </c>
      <c r="B164" s="2">
        <v>3.6021586465418642E-2</v>
      </c>
      <c r="C164" s="2">
        <v>1.1173076655797587E-2</v>
      </c>
      <c r="D164" s="1">
        <f t="shared" si="15"/>
        <v>1.1173076655797587E-2</v>
      </c>
      <c r="E164" t="s">
        <v>12</v>
      </c>
      <c r="F164" s="1">
        <f>-A164</f>
        <v>-6.1628614692853391E-2</v>
      </c>
      <c r="G164" s="1">
        <f t="shared" si="22"/>
        <v>6.1628614692853391E-2</v>
      </c>
      <c r="H164" s="1" t="s">
        <v>8</v>
      </c>
      <c r="I164" s="4">
        <f>B164</f>
        <v>3.6021586465418642E-2</v>
      </c>
    </row>
    <row r="165" spans="1:9" x14ac:dyDescent="0.2">
      <c r="A165" s="2">
        <v>2.7614582341707168E-2</v>
      </c>
      <c r="B165" s="2">
        <v>3.0263218631603996E-2</v>
      </c>
      <c r="C165" s="2">
        <v>1.3808365094538644E-2</v>
      </c>
      <c r="D165" s="1">
        <f t="shared" si="15"/>
        <v>1.3808365094538644E-2</v>
      </c>
      <c r="E165" t="s">
        <v>12</v>
      </c>
      <c r="F165" s="1">
        <f>-C165</f>
        <v>-1.3808365094538644E-2</v>
      </c>
      <c r="G165" s="1">
        <f t="shared" si="22"/>
        <v>3.0263218631603996E-2</v>
      </c>
      <c r="H165" s="1" t="s">
        <v>3</v>
      </c>
      <c r="I165" s="4">
        <f>A165</f>
        <v>2.7614582341707168E-2</v>
      </c>
    </row>
    <row r="166" spans="1:9" x14ac:dyDescent="0.2">
      <c r="A166" s="2">
        <v>-6.2567618586277643E-2</v>
      </c>
      <c r="B166" s="2">
        <v>4.2943009181394707E-3</v>
      </c>
      <c r="C166" s="2">
        <v>5.4882211575257411E-2</v>
      </c>
      <c r="D166" s="1">
        <f t="shared" si="15"/>
        <v>-6.2567618586277643E-2</v>
      </c>
      <c r="E166" t="s">
        <v>11</v>
      </c>
      <c r="F166" s="1">
        <f>-C166</f>
        <v>-5.4882211575257411E-2</v>
      </c>
      <c r="G166" s="1">
        <f t="shared" si="22"/>
        <v>5.4882211575257411E-2</v>
      </c>
      <c r="H166" s="1" t="s">
        <v>5</v>
      </c>
      <c r="I166" s="4">
        <f>A166</f>
        <v>-6.2567618586277643E-2</v>
      </c>
    </row>
    <row r="167" spans="1:9" x14ac:dyDescent="0.2">
      <c r="A167" s="2">
        <v>-4.9274935863002065E-2</v>
      </c>
      <c r="B167" s="2">
        <v>-6.9403358979814631E-2</v>
      </c>
      <c r="C167" s="2">
        <v>-9.1193049431095519E-2</v>
      </c>
      <c r="D167" s="1">
        <f t="shared" si="15"/>
        <v>-9.1193049431095519E-2</v>
      </c>
      <c r="E167" t="s">
        <v>12</v>
      </c>
      <c r="F167" s="1">
        <f>-A167</f>
        <v>4.9274935863002065E-2</v>
      </c>
      <c r="G167" s="1">
        <f t="shared" si="22"/>
        <v>-4.9274935863002065E-2</v>
      </c>
      <c r="H167" s="1" t="s">
        <v>8</v>
      </c>
      <c r="I167" s="4">
        <f>C167</f>
        <v>-9.1193049431095519E-2</v>
      </c>
    </row>
    <row r="168" spans="1:9" x14ac:dyDescent="0.2">
      <c r="A168" s="2">
        <v>5.0875310848221861E-2</v>
      </c>
      <c r="B168" s="2">
        <v>1.7859381799140144E-2</v>
      </c>
      <c r="C168" s="2">
        <v>1.9643748351996448E-2</v>
      </c>
      <c r="D168" s="1">
        <f t="shared" si="15"/>
        <v>1.7859381799140144E-2</v>
      </c>
      <c r="E168" t="s">
        <v>3</v>
      </c>
      <c r="F168" s="1">
        <f>-C168</f>
        <v>-1.9643748351996448E-2</v>
      </c>
      <c r="G168" s="1">
        <f t="shared" si="22"/>
        <v>5.0875310848221861E-2</v>
      </c>
      <c r="H168" s="1" t="s">
        <v>8</v>
      </c>
      <c r="I168" s="4">
        <f>A168</f>
        <v>5.0875310848221861E-2</v>
      </c>
    </row>
    <row r="169" spans="1:9" x14ac:dyDescent="0.2">
      <c r="A169" s="2">
        <v>-3.4803822701364897E-3</v>
      </c>
      <c r="B169" s="2">
        <v>-9.1776955767217297E-2</v>
      </c>
      <c r="C169" s="2">
        <v>-0.10452703361719762</v>
      </c>
      <c r="D169" s="1">
        <f t="shared" si="15"/>
        <v>-0.10452703361719762</v>
      </c>
      <c r="E169" t="s">
        <v>12</v>
      </c>
      <c r="F169" s="1">
        <f>-B169</f>
        <v>9.1776955767217297E-2</v>
      </c>
      <c r="G169" s="1">
        <f t="shared" si="22"/>
        <v>-3.4803822701364897E-3</v>
      </c>
      <c r="H169" s="1" t="s">
        <v>8</v>
      </c>
      <c r="I169" s="4">
        <f>A169</f>
        <v>-3.4803822701364897E-3</v>
      </c>
    </row>
    <row r="170" spans="1:9" x14ac:dyDescent="0.2">
      <c r="A170" s="2">
        <v>5.2223099877371807E-3</v>
      </c>
      <c r="B170" s="2">
        <v>7.8684404731036967E-2</v>
      </c>
      <c r="C170" s="2">
        <v>3.7908004938353113E-2</v>
      </c>
      <c r="D170" s="1">
        <f t="shared" si="15"/>
        <v>5.2223099877371807E-3</v>
      </c>
      <c r="E170" t="s">
        <v>11</v>
      </c>
      <c r="F170" s="1">
        <f>-C170</f>
        <v>-3.7908004938353113E-2</v>
      </c>
      <c r="G170" s="1">
        <f t="shared" si="22"/>
        <v>7.8684404731036967E-2</v>
      </c>
      <c r="H170" s="3" t="s">
        <v>3</v>
      </c>
      <c r="I170" s="4">
        <f>A170</f>
        <v>5.2223099877371807E-3</v>
      </c>
    </row>
    <row r="171" spans="1:9" x14ac:dyDescent="0.2">
      <c r="A171" s="2">
        <v>-1.0735949696456019E-2</v>
      </c>
      <c r="B171" s="2">
        <v>2.9728930143115964E-2</v>
      </c>
      <c r="C171" s="2">
        <v>2.9444739425103839E-2</v>
      </c>
      <c r="D171" s="1">
        <f t="shared" si="15"/>
        <v>-1.0735949696456019E-2</v>
      </c>
      <c r="E171" t="s">
        <v>11</v>
      </c>
      <c r="F171" s="1">
        <f>-A171</f>
        <v>1.0735949696456019E-2</v>
      </c>
      <c r="G171" s="1">
        <f t="shared" si="22"/>
        <v>2.9728930143115964E-2</v>
      </c>
      <c r="H171" s="3" t="s">
        <v>3</v>
      </c>
      <c r="I171" s="4">
        <f>B171</f>
        <v>2.9728930143115964E-2</v>
      </c>
    </row>
    <row r="172" spans="1:9" x14ac:dyDescent="0.2">
      <c r="A172" s="2">
        <v>7.8217737312727117E-2</v>
      </c>
      <c r="B172" s="2">
        <v>1.7924287751078408E-2</v>
      </c>
      <c r="C172" s="2">
        <v>-8.3866569153562276E-3</v>
      </c>
      <c r="D172" s="1">
        <f t="shared" ref="D172:D235" si="27">MIN(A172:C172)</f>
        <v>-8.3866569153562276E-3</v>
      </c>
      <c r="E172" t="s">
        <v>12</v>
      </c>
      <c r="F172" s="1">
        <f>-A172</f>
        <v>-7.8217737312727117E-2</v>
      </c>
      <c r="G172" s="1">
        <f t="shared" si="22"/>
        <v>7.8217737312727117E-2</v>
      </c>
      <c r="H172" s="1" t="s">
        <v>8</v>
      </c>
      <c r="I172" s="4">
        <f>B172</f>
        <v>1.7924287751078408E-2</v>
      </c>
    </row>
    <row r="173" spans="1:9" x14ac:dyDescent="0.2">
      <c r="A173" s="2">
        <v>9.2736750350568241E-3</v>
      </c>
      <c r="B173" s="2">
        <v>3.9313434942139368E-2</v>
      </c>
      <c r="C173" s="2">
        <v>4.9652430159470295E-2</v>
      </c>
      <c r="D173" s="1">
        <f t="shared" si="27"/>
        <v>9.2736750350568241E-3</v>
      </c>
      <c r="E173" t="s">
        <v>11</v>
      </c>
      <c r="F173" s="1">
        <f>-C173</f>
        <v>-4.9652430159470295E-2</v>
      </c>
      <c r="G173" s="1">
        <f t="shared" si="22"/>
        <v>4.9652430159470295E-2</v>
      </c>
      <c r="H173" s="1" t="s">
        <v>5</v>
      </c>
      <c r="I173" s="4">
        <f>A173</f>
        <v>9.2736750350568241E-3</v>
      </c>
    </row>
    <row r="174" spans="1:9" x14ac:dyDescent="0.2">
      <c r="A174" s="2">
        <v>1.7489697437073192E-2</v>
      </c>
      <c r="B174" s="2">
        <v>-6.5777726481161508E-2</v>
      </c>
      <c r="C174" s="2">
        <v>-7.4466961951557886E-2</v>
      </c>
      <c r="D174" s="1">
        <f t="shared" si="27"/>
        <v>-7.4466961951557886E-2</v>
      </c>
      <c r="E174" t="s">
        <v>12</v>
      </c>
      <c r="F174" s="1">
        <f>-A174</f>
        <v>-1.7489697437073192E-2</v>
      </c>
      <c r="G174" s="1">
        <f t="shared" si="22"/>
        <v>1.7489697437073192E-2</v>
      </c>
      <c r="H174" s="1" t="s">
        <v>8</v>
      </c>
      <c r="I174" s="1">
        <f>C174</f>
        <v>-7.4466961951557886E-2</v>
      </c>
    </row>
    <row r="175" spans="1:9" x14ac:dyDescent="0.2">
      <c r="A175" s="2">
        <v>-8.0464921866737257E-3</v>
      </c>
      <c r="B175" s="2">
        <v>6.8930183208215035E-2</v>
      </c>
      <c r="C175" s="2">
        <v>3.2751991511170031E-2</v>
      </c>
      <c r="D175" s="1">
        <f t="shared" si="27"/>
        <v>-8.0464921866737257E-3</v>
      </c>
      <c r="E175" t="s">
        <v>11</v>
      </c>
      <c r="F175" s="1">
        <f>-C175</f>
        <v>-3.2751991511170031E-2</v>
      </c>
      <c r="G175" s="1">
        <f t="shared" si="22"/>
        <v>6.8930183208215035E-2</v>
      </c>
      <c r="H175" s="1" t="s">
        <v>3</v>
      </c>
      <c r="I175" s="4">
        <f>A175</f>
        <v>-8.0464921866737257E-3</v>
      </c>
    </row>
    <row r="176" spans="1:9" x14ac:dyDescent="0.2">
      <c r="A176" s="2">
        <v>-4.8573105376771987E-2</v>
      </c>
      <c r="B176" s="2">
        <v>1.312819536603934E-2</v>
      </c>
      <c r="C176" s="2">
        <v>1.1544036638603705E-2</v>
      </c>
      <c r="D176" s="1">
        <f t="shared" si="27"/>
        <v>-4.8573105376771987E-2</v>
      </c>
      <c r="E176" t="s">
        <v>11</v>
      </c>
      <c r="F176" s="1">
        <f>-A176</f>
        <v>4.8573105376771987E-2</v>
      </c>
      <c r="G176" s="1">
        <f t="shared" si="22"/>
        <v>1.312819536603934E-2</v>
      </c>
      <c r="H176" s="1" t="s">
        <v>3</v>
      </c>
      <c r="I176" s="4">
        <f>B176</f>
        <v>1.312819536603934E-2</v>
      </c>
    </row>
    <row r="177" spans="1:9" x14ac:dyDescent="0.2">
      <c r="A177" s="2">
        <v>-3.9574591154160213E-3</v>
      </c>
      <c r="B177" s="2">
        <v>-1.8091652742267789E-2</v>
      </c>
      <c r="C177" s="2">
        <v>-3.7969419460419429E-2</v>
      </c>
      <c r="D177" s="1">
        <f t="shared" si="27"/>
        <v>-3.7969419460419429E-2</v>
      </c>
      <c r="E177" t="s">
        <v>12</v>
      </c>
      <c r="F177" s="1">
        <f>-A177</f>
        <v>3.9574591154160213E-3</v>
      </c>
      <c r="G177" s="1">
        <f t="shared" si="22"/>
        <v>-3.9574591154160213E-3</v>
      </c>
      <c r="H177" s="1" t="s">
        <v>8</v>
      </c>
      <c r="I177" s="4">
        <f>B177</f>
        <v>-1.8091652742267789E-2</v>
      </c>
    </row>
    <row r="178" spans="1:9" x14ac:dyDescent="0.2">
      <c r="A178" s="2">
        <v>3.5747127391229018E-2</v>
      </c>
      <c r="B178" s="2">
        <v>1.7181167690656883E-2</v>
      </c>
      <c r="C178" s="2">
        <v>5.0784930910720893E-2</v>
      </c>
      <c r="D178" s="1">
        <f t="shared" si="27"/>
        <v>1.7181167690656883E-2</v>
      </c>
      <c r="E178" t="s">
        <v>3</v>
      </c>
      <c r="F178" s="1">
        <f>-C178</f>
        <v>-5.0784930910720893E-2</v>
      </c>
      <c r="G178" s="1">
        <f t="shared" si="22"/>
        <v>5.0784930910720893E-2</v>
      </c>
      <c r="H178" s="1" t="s">
        <v>5</v>
      </c>
      <c r="I178" s="1">
        <f>A178</f>
        <v>3.5747127391229018E-2</v>
      </c>
    </row>
    <row r="179" spans="1:9" x14ac:dyDescent="0.2">
      <c r="A179" s="2">
        <v>3.7802454940643722E-2</v>
      </c>
      <c r="B179" s="2">
        <v>2.0431747482144953E-2</v>
      </c>
      <c r="C179" s="2">
        <v>5.3833821171694662E-2</v>
      </c>
      <c r="D179" s="1">
        <f t="shared" si="27"/>
        <v>2.0431747482144953E-2</v>
      </c>
      <c r="E179" t="s">
        <v>3</v>
      </c>
      <c r="F179" s="1">
        <f>-B179</f>
        <v>-2.0431747482144953E-2</v>
      </c>
      <c r="G179" s="1">
        <f t="shared" si="22"/>
        <v>5.3833821171694662E-2</v>
      </c>
      <c r="H179" s="1" t="s">
        <v>5</v>
      </c>
      <c r="I179" s="1">
        <f>C179</f>
        <v>5.3833821171694662E-2</v>
      </c>
    </row>
    <row r="180" spans="1:9" x14ac:dyDescent="0.2">
      <c r="A180" s="2">
        <v>1.6565555376964934E-2</v>
      </c>
      <c r="B180" s="2">
        <v>3.4047064090915104E-2</v>
      </c>
      <c r="C180" s="2">
        <v>1.6001629516937177E-2</v>
      </c>
      <c r="D180" s="1">
        <f t="shared" si="27"/>
        <v>1.6001629516937177E-2</v>
      </c>
      <c r="E180" t="s">
        <v>12</v>
      </c>
      <c r="F180" s="1">
        <f>-B180</f>
        <v>-3.4047064090915104E-2</v>
      </c>
      <c r="G180" s="1">
        <f t="shared" si="22"/>
        <v>3.4047064090915104E-2</v>
      </c>
      <c r="H180" s="1" t="s">
        <v>3</v>
      </c>
      <c r="I180" s="1">
        <f>C180</f>
        <v>1.6001629516937177E-2</v>
      </c>
    </row>
    <row r="181" spans="1:9" x14ac:dyDescent="0.2">
      <c r="A181" s="2">
        <v>1.1274504636855451E-2</v>
      </c>
      <c r="B181" s="2">
        <v>2.8589803182446302E-2</v>
      </c>
      <c r="C181" s="2">
        <v>1.5571022640681553E-2</v>
      </c>
      <c r="D181" s="1">
        <f t="shared" si="27"/>
        <v>1.1274504636855451E-2</v>
      </c>
      <c r="E181" t="s">
        <v>11</v>
      </c>
      <c r="F181" s="1">
        <f>-C181</f>
        <v>-1.5571022640681553E-2</v>
      </c>
      <c r="G181" s="1">
        <f t="shared" si="22"/>
        <v>2.8589803182446302E-2</v>
      </c>
      <c r="H181" s="1" t="s">
        <v>3</v>
      </c>
      <c r="I181" s="4">
        <f>B181</f>
        <v>2.8589803182446302E-2</v>
      </c>
    </row>
    <row r="182" spans="1:9" x14ac:dyDescent="0.2">
      <c r="A182" s="2">
        <v>-1.2853380081418073E-2</v>
      </c>
      <c r="B182" s="2">
        <v>-1.6280898111292685E-3</v>
      </c>
      <c r="C182" s="2">
        <v>-1.9083030458281858E-2</v>
      </c>
      <c r="D182" s="1">
        <f t="shared" si="27"/>
        <v>-1.9083030458281858E-2</v>
      </c>
      <c r="E182" t="s">
        <v>12</v>
      </c>
      <c r="F182" s="1">
        <f>-A182</f>
        <v>1.2853380081418073E-2</v>
      </c>
      <c r="G182" s="1">
        <f t="shared" si="22"/>
        <v>-1.6280898111292685E-3</v>
      </c>
      <c r="H182" s="1" t="s">
        <v>3</v>
      </c>
      <c r="I182" s="4">
        <f>B182</f>
        <v>-1.6280898111292685E-3</v>
      </c>
    </row>
    <row r="183" spans="1:9" x14ac:dyDescent="0.2">
      <c r="A183" s="2">
        <v>-5.9577408517786597E-2</v>
      </c>
      <c r="B183" s="2">
        <v>-8.4110469009648109E-2</v>
      </c>
      <c r="C183" s="2">
        <v>-8.8868950811844649E-2</v>
      </c>
      <c r="D183" s="1">
        <f t="shared" si="27"/>
        <v>-8.8868950811844649E-2</v>
      </c>
      <c r="E183" t="s">
        <v>12</v>
      </c>
      <c r="F183" s="1">
        <f>-C183</f>
        <v>8.8868950811844649E-2</v>
      </c>
      <c r="G183" s="1">
        <f t="shared" si="22"/>
        <v>-5.9577408517786597E-2</v>
      </c>
      <c r="H183" s="1" t="s">
        <v>8</v>
      </c>
      <c r="I183" s="4">
        <f>B183</f>
        <v>-8.4110469009648109E-2</v>
      </c>
    </row>
    <row r="184" spans="1:9" x14ac:dyDescent="0.2">
      <c r="A184" s="2">
        <v>-0.23053328316442231</v>
      </c>
      <c r="B184" s="2">
        <v>-0.12511932083595659</v>
      </c>
      <c r="C184" s="2">
        <v>-0.10528090674153479</v>
      </c>
      <c r="D184" s="1">
        <f t="shared" si="27"/>
        <v>-0.23053328316442231</v>
      </c>
      <c r="E184" t="s">
        <v>11</v>
      </c>
      <c r="F184" s="1">
        <f>-C184</f>
        <v>0.10528090674153479</v>
      </c>
      <c r="G184" s="1">
        <f t="shared" si="22"/>
        <v>-0.10528090674153479</v>
      </c>
      <c r="H184" s="1" t="s">
        <v>5</v>
      </c>
      <c r="I184" s="1">
        <f>A184</f>
        <v>-0.23053328316442231</v>
      </c>
    </row>
    <row r="185" spans="1:9" x14ac:dyDescent="0.2">
      <c r="A185" s="2">
        <v>0.14419232203618174</v>
      </c>
      <c r="B185" s="2">
        <v>0.12684410293315368</v>
      </c>
      <c r="C185" s="2">
        <v>6.7488466729150209E-2</v>
      </c>
      <c r="D185" s="1">
        <f t="shared" si="27"/>
        <v>6.7488466729150209E-2</v>
      </c>
      <c r="E185" t="s">
        <v>12</v>
      </c>
      <c r="F185" s="1">
        <f>-A185</f>
        <v>-0.14419232203618174</v>
      </c>
      <c r="G185" s="1">
        <f t="shared" si="22"/>
        <v>0.14419232203618174</v>
      </c>
      <c r="H185" s="1" t="s">
        <v>8</v>
      </c>
      <c r="I185" s="1">
        <f>C185</f>
        <v>6.7488466729150209E-2</v>
      </c>
    </row>
    <row r="186" spans="1:9" x14ac:dyDescent="0.2">
      <c r="A186" s="2">
        <v>-3.8363324576289902E-2</v>
      </c>
      <c r="B186" s="2">
        <v>4.5281775012618368E-2</v>
      </c>
      <c r="C186" s="2">
        <v>8.340229051748338E-2</v>
      </c>
      <c r="D186" s="1">
        <f t="shared" si="27"/>
        <v>-3.8363324576289902E-2</v>
      </c>
      <c r="E186" t="s">
        <v>11</v>
      </c>
      <c r="F186" s="1">
        <f>-C186</f>
        <v>-8.340229051748338E-2</v>
      </c>
      <c r="G186" s="1">
        <f t="shared" si="22"/>
        <v>8.340229051748338E-2</v>
      </c>
      <c r="H186" s="1" t="s">
        <v>5</v>
      </c>
      <c r="I186" s="4">
        <f>A186</f>
        <v>-3.8363324576289902E-2</v>
      </c>
    </row>
    <row r="187" spans="1:9" x14ac:dyDescent="0.2">
      <c r="A187" s="2">
        <v>7.6847159982852395E-2</v>
      </c>
      <c r="B187" s="2">
        <v>1.838840328350267E-2</v>
      </c>
      <c r="C187" s="2">
        <v>1.8751808332521991E-2</v>
      </c>
      <c r="D187" s="1">
        <f t="shared" si="27"/>
        <v>1.838840328350267E-2</v>
      </c>
      <c r="E187" t="s">
        <v>3</v>
      </c>
      <c r="F187" s="1">
        <f>-A187</f>
        <v>-7.6847159982852395E-2</v>
      </c>
      <c r="G187" s="1">
        <f t="shared" si="22"/>
        <v>7.6847159982852395E-2</v>
      </c>
      <c r="H187" s="1" t="s">
        <v>8</v>
      </c>
      <c r="I187" s="4">
        <f>C187</f>
        <v>1.8751808332521991E-2</v>
      </c>
    </row>
    <row r="188" spans="1:9" x14ac:dyDescent="0.2">
      <c r="A188" s="2">
        <v>7.7073703022700224E-2</v>
      </c>
      <c r="B188" s="2">
        <v>5.5101296975444213E-2</v>
      </c>
      <c r="C188" s="2">
        <v>-2.5939356088035992E-2</v>
      </c>
      <c r="D188" s="1">
        <f t="shared" si="27"/>
        <v>-2.5939356088035992E-2</v>
      </c>
      <c r="E188" t="s">
        <v>12</v>
      </c>
      <c r="F188" s="1">
        <f>-B188</f>
        <v>-5.5101296975444213E-2</v>
      </c>
      <c r="G188" s="1">
        <f t="shared" si="22"/>
        <v>7.7073703022700224E-2</v>
      </c>
      <c r="H188" s="1" t="s">
        <v>8</v>
      </c>
      <c r="I188" s="1">
        <f>A188</f>
        <v>7.7073703022700224E-2</v>
      </c>
    </row>
    <row r="189" spans="1:9" x14ac:dyDescent="0.2">
      <c r="A189" s="2">
        <v>2.7159916706752444E-2</v>
      </c>
      <c r="B189" s="2">
        <v>7.0064687324219249E-2</v>
      </c>
      <c r="C189" s="2">
        <v>6.5857208659603872E-2</v>
      </c>
      <c r="D189" s="1">
        <f t="shared" si="27"/>
        <v>2.7159916706752444E-2</v>
      </c>
      <c r="E189" t="s">
        <v>11</v>
      </c>
      <c r="F189" s="1">
        <f>-C189</f>
        <v>-6.5857208659603872E-2</v>
      </c>
      <c r="G189" s="1">
        <f t="shared" si="22"/>
        <v>7.0064687324219249E-2</v>
      </c>
      <c r="H189" s="1" t="s">
        <v>3</v>
      </c>
      <c r="I189" s="1">
        <f>A189</f>
        <v>2.7159916706752444E-2</v>
      </c>
    </row>
    <row r="190" spans="1:9" x14ac:dyDescent="0.2">
      <c r="A190" s="2">
        <v>-1.4506466633651155E-2</v>
      </c>
      <c r="B190" s="2">
        <v>-3.9227954095494386E-2</v>
      </c>
      <c r="C190" s="2">
        <v>1.9602623363423888E-3</v>
      </c>
      <c r="D190" s="1">
        <f t="shared" si="27"/>
        <v>-3.9227954095494386E-2</v>
      </c>
      <c r="E190" t="s">
        <v>3</v>
      </c>
      <c r="F190" s="1">
        <f>-A190</f>
        <v>1.4506466633651155E-2</v>
      </c>
      <c r="G190" s="1">
        <f t="shared" si="22"/>
        <v>1.9602623363423888E-3</v>
      </c>
      <c r="H190" s="1" t="s">
        <v>5</v>
      </c>
      <c r="I190" s="4">
        <f>A190</f>
        <v>-1.4506466633651155E-2</v>
      </c>
    </row>
    <row r="191" spans="1:9" x14ac:dyDescent="0.2">
      <c r="A191" s="2">
        <v>4.0615289562631836E-2</v>
      </c>
      <c r="B191" s="2">
        <v>-2.766577460600653E-2</v>
      </c>
      <c r="C191" s="2">
        <v>-8.9708399180162823E-3</v>
      </c>
      <c r="D191" s="1">
        <f t="shared" si="27"/>
        <v>-2.766577460600653E-2</v>
      </c>
      <c r="E191" t="s">
        <v>3</v>
      </c>
      <c r="F191" s="1">
        <f>-B191</f>
        <v>2.766577460600653E-2</v>
      </c>
      <c r="G191" s="1">
        <f t="shared" si="22"/>
        <v>4.0615289562631836E-2</v>
      </c>
      <c r="H191" s="1" t="s">
        <v>8</v>
      </c>
      <c r="I191" s="4">
        <f>C191</f>
        <v>-8.9708399180162823E-3</v>
      </c>
    </row>
    <row r="192" spans="1:9" x14ac:dyDescent="0.2">
      <c r="A192" s="2">
        <v>0.11449593540880806</v>
      </c>
      <c r="B192" s="2">
        <v>0.10754565805086302</v>
      </c>
      <c r="C192" s="2">
        <v>0.15043175540200182</v>
      </c>
      <c r="D192" s="1">
        <f t="shared" si="27"/>
        <v>0.10754565805086302</v>
      </c>
      <c r="E192" t="s">
        <v>3</v>
      </c>
      <c r="F192" s="1">
        <f t="shared" ref="F192:F194" si="28">-B192</f>
        <v>-0.10754565805086302</v>
      </c>
      <c r="G192" s="1">
        <f t="shared" si="22"/>
        <v>0.15043175540200182</v>
      </c>
      <c r="H192" s="1" t="s">
        <v>5</v>
      </c>
      <c r="I192" s="4">
        <f>A192</f>
        <v>0.11449593540880806</v>
      </c>
    </row>
    <row r="193" spans="1:9" x14ac:dyDescent="0.2">
      <c r="A193" s="2">
        <v>8.1577187805494583E-2</v>
      </c>
      <c r="B193" s="2">
        <v>3.7121406659432372E-2</v>
      </c>
      <c r="C193" s="2">
        <v>3.8229724116485064E-2</v>
      </c>
      <c r="D193" s="1">
        <f t="shared" si="27"/>
        <v>3.7121406659432372E-2</v>
      </c>
      <c r="E193" t="s">
        <v>3</v>
      </c>
      <c r="F193" s="1">
        <f t="shared" si="28"/>
        <v>-3.7121406659432372E-2</v>
      </c>
      <c r="G193" s="1">
        <f t="shared" si="22"/>
        <v>8.1577187805494583E-2</v>
      </c>
      <c r="H193" s="1" t="s">
        <v>8</v>
      </c>
      <c r="I193" s="4">
        <f>C193</f>
        <v>3.8229724116485064E-2</v>
      </c>
    </row>
    <row r="194" spans="1:9" x14ac:dyDescent="0.2">
      <c r="A194" s="2">
        <v>-3.0691501158187737E-2</v>
      </c>
      <c r="B194" s="2">
        <v>-1.1136640158463601E-2</v>
      </c>
      <c r="C194" s="2">
        <v>7.9878531578838619E-3</v>
      </c>
      <c r="D194" s="1">
        <f t="shared" si="27"/>
        <v>-3.0691501158187737E-2</v>
      </c>
      <c r="E194" t="s">
        <v>11</v>
      </c>
      <c r="F194" s="1">
        <f t="shared" si="28"/>
        <v>1.1136640158463601E-2</v>
      </c>
      <c r="G194" s="1">
        <f t="shared" si="22"/>
        <v>7.9878531578838619E-3</v>
      </c>
      <c r="H194" s="1" t="s">
        <v>5</v>
      </c>
      <c r="I194" s="4">
        <f>A194</f>
        <v>-3.0691501158187737E-2</v>
      </c>
    </row>
    <row r="195" spans="1:9" x14ac:dyDescent="0.2">
      <c r="A195" s="2">
        <v>6.0800976196355841E-2</v>
      </c>
      <c r="B195" s="2">
        <v>2.6091474971999741E-2</v>
      </c>
      <c r="C195" s="2">
        <v>4.7088227437056762E-2</v>
      </c>
      <c r="D195" s="1">
        <f t="shared" si="27"/>
        <v>2.6091474971999741E-2</v>
      </c>
      <c r="E195" t="s">
        <v>3</v>
      </c>
      <c r="F195" s="1">
        <f>-A195</f>
        <v>-6.0800976196355841E-2</v>
      </c>
      <c r="G195" s="1">
        <f t="shared" ref="G195:G254" si="29">MAX(A195:C195)</f>
        <v>6.0800976196355841E-2</v>
      </c>
      <c r="H195" s="1" t="s">
        <v>8</v>
      </c>
      <c r="I195" s="4">
        <f>C195</f>
        <v>4.7088227437056762E-2</v>
      </c>
    </row>
    <row r="196" spans="1:9" x14ac:dyDescent="0.2">
      <c r="A196" s="2">
        <v>8.3331992531974746E-3</v>
      </c>
      <c r="B196" s="2">
        <v>4.2438634008107733E-2</v>
      </c>
      <c r="C196" s="2">
        <v>7.3461964557770543E-3</v>
      </c>
      <c r="D196" s="1">
        <f t="shared" si="27"/>
        <v>7.3461964557770543E-3</v>
      </c>
      <c r="E196" t="s">
        <v>12</v>
      </c>
      <c r="F196" s="1">
        <f>-B196</f>
        <v>-4.2438634008107733E-2</v>
      </c>
      <c r="G196" s="1">
        <f t="shared" si="29"/>
        <v>4.2438634008107733E-2</v>
      </c>
      <c r="H196" s="1" t="s">
        <v>3</v>
      </c>
      <c r="I196" s="4">
        <f>A196</f>
        <v>8.3331992531974746E-3</v>
      </c>
    </row>
    <row r="197" spans="1:9" x14ac:dyDescent="0.2">
      <c r="A197" s="2">
        <v>-1.4679912703005421E-2</v>
      </c>
      <c r="B197" s="2">
        <v>5.2425312555847307E-2</v>
      </c>
      <c r="C197" s="2">
        <v>-1.254917954131074E-2</v>
      </c>
      <c r="D197" s="1">
        <f t="shared" si="27"/>
        <v>-1.4679912703005421E-2</v>
      </c>
      <c r="E197" t="s">
        <v>11</v>
      </c>
      <c r="F197" s="1">
        <f>-C197</f>
        <v>1.254917954131074E-2</v>
      </c>
      <c r="G197" s="1">
        <f t="shared" si="29"/>
        <v>5.2425312555847307E-2</v>
      </c>
      <c r="H197" s="1" t="s">
        <v>3</v>
      </c>
      <c r="I197" s="4">
        <f>B197</f>
        <v>5.2425312555847307E-2</v>
      </c>
    </row>
    <row r="198" spans="1:9" x14ac:dyDescent="0.2">
      <c r="A198" s="2">
        <v>6.4676657709877128E-2</v>
      </c>
      <c r="B198" s="2">
        <v>5.4865025818131288E-3</v>
      </c>
      <c r="C198" s="2">
        <v>1.6468472333139861E-3</v>
      </c>
      <c r="D198" s="1">
        <f t="shared" si="27"/>
        <v>1.6468472333139861E-3</v>
      </c>
      <c r="E198" t="s">
        <v>12</v>
      </c>
      <c r="F198" s="1">
        <f>-A198</f>
        <v>-6.4676657709877128E-2</v>
      </c>
      <c r="G198" s="1">
        <f t="shared" si="29"/>
        <v>6.4676657709877128E-2</v>
      </c>
      <c r="H198" s="1" t="s">
        <v>8</v>
      </c>
      <c r="I198" s="1">
        <f>B198</f>
        <v>5.4865025818131288E-3</v>
      </c>
    </row>
    <row r="199" spans="1:9" x14ac:dyDescent="0.2">
      <c r="A199" s="2">
        <v>1.0498592152404831E-2</v>
      </c>
      <c r="B199" s="2">
        <v>2.221397632316955E-2</v>
      </c>
      <c r="C199" s="2">
        <v>-2.3752532910512603E-3</v>
      </c>
      <c r="D199" s="1">
        <f t="shared" si="27"/>
        <v>-2.3752532910512603E-3</v>
      </c>
      <c r="E199" t="s">
        <v>12</v>
      </c>
      <c r="F199" s="1">
        <f>-C199</f>
        <v>2.3752532910512603E-3</v>
      </c>
      <c r="G199" s="1">
        <f t="shared" si="29"/>
        <v>2.221397632316955E-2</v>
      </c>
      <c r="H199" s="1" t="s">
        <v>3</v>
      </c>
      <c r="I199" s="4">
        <f>A199</f>
        <v>1.0498592152404831E-2</v>
      </c>
    </row>
    <row r="200" spans="1:9" x14ac:dyDescent="0.2">
      <c r="A200" s="2">
        <v>1.9840819957657936E-3</v>
      </c>
      <c r="B200" s="2">
        <v>2.2748109365910464E-2</v>
      </c>
      <c r="C200" s="2">
        <v>-5.2374430952436324E-2</v>
      </c>
      <c r="D200" s="1">
        <f t="shared" si="27"/>
        <v>-5.2374430952436324E-2</v>
      </c>
      <c r="E200" t="s">
        <v>12</v>
      </c>
      <c r="F200" s="1">
        <f t="shared" ref="F200:F201" si="30">-C200</f>
        <v>5.2374430952436324E-2</v>
      </c>
      <c r="G200" s="1">
        <f t="shared" si="29"/>
        <v>2.2748109365910464E-2</v>
      </c>
      <c r="H200" s="1" t="s">
        <v>3</v>
      </c>
      <c r="I200" s="4">
        <f>B200</f>
        <v>2.2748109365910464E-2</v>
      </c>
    </row>
    <row r="201" spans="1:9" x14ac:dyDescent="0.2">
      <c r="A201" s="2">
        <v>9.4425715635318708E-2</v>
      </c>
      <c r="B201" s="2">
        <v>2.8990321391681052E-2</v>
      </c>
      <c r="C201" s="2">
        <v>2.9539734323818845E-2</v>
      </c>
      <c r="D201" s="1">
        <f t="shared" si="27"/>
        <v>2.8990321391681052E-2</v>
      </c>
      <c r="E201" t="s">
        <v>3</v>
      </c>
      <c r="F201" s="1">
        <f t="shared" si="30"/>
        <v>-2.9539734323818845E-2</v>
      </c>
      <c r="G201" s="1">
        <f t="shared" si="29"/>
        <v>9.4425715635318708E-2</v>
      </c>
      <c r="H201" s="1" t="s">
        <v>8</v>
      </c>
      <c r="I201" s="4">
        <f>B201</f>
        <v>2.8990321391681052E-2</v>
      </c>
    </row>
    <row r="202" spans="1:9" x14ac:dyDescent="0.2">
      <c r="A202" s="2">
        <v>2.7348473277999424E-2</v>
      </c>
      <c r="B202" s="2">
        <v>-4.7569140421166278E-2</v>
      </c>
      <c r="C202" s="2">
        <v>4.8527672578475789E-2</v>
      </c>
      <c r="D202" s="1">
        <f t="shared" si="27"/>
        <v>-4.7569140421166278E-2</v>
      </c>
      <c r="E202" t="s">
        <v>3</v>
      </c>
      <c r="F202" s="1">
        <f>-B202</f>
        <v>4.7569140421166278E-2</v>
      </c>
      <c r="G202" s="1">
        <f t="shared" si="29"/>
        <v>4.8527672578475789E-2</v>
      </c>
      <c r="H202" s="1" t="s">
        <v>5</v>
      </c>
      <c r="I202" s="1">
        <f>A202</f>
        <v>2.7348473277999424E-2</v>
      </c>
    </row>
    <row r="203" spans="1:9" x14ac:dyDescent="0.2">
      <c r="A203" s="2">
        <v>3.0539678072521244E-3</v>
      </c>
      <c r="B203" s="2">
        <v>6.9143873301234615E-2</v>
      </c>
      <c r="C203" s="2">
        <v>-1.9012544198045322E-2</v>
      </c>
      <c r="D203" s="1">
        <f t="shared" si="27"/>
        <v>-1.9012544198045322E-2</v>
      </c>
      <c r="E203" t="s">
        <v>12</v>
      </c>
      <c r="F203" s="1">
        <f>-B203</f>
        <v>-6.9143873301234615E-2</v>
      </c>
      <c r="G203" s="1">
        <f t="shared" si="29"/>
        <v>6.9143873301234615E-2</v>
      </c>
      <c r="H203" s="1" t="s">
        <v>3</v>
      </c>
      <c r="I203" s="1">
        <f>C203</f>
        <v>-1.9012544198045322E-2</v>
      </c>
    </row>
    <row r="204" spans="1:9" x14ac:dyDescent="0.2">
      <c r="A204" s="2">
        <v>-3.780435102609421E-2</v>
      </c>
      <c r="B204" s="2">
        <v>-8.3337314184714628E-3</v>
      </c>
      <c r="C204" s="2">
        <v>-3.7065776845285114E-2</v>
      </c>
      <c r="D204" s="1">
        <f t="shared" si="27"/>
        <v>-3.780435102609421E-2</v>
      </c>
      <c r="E204" t="s">
        <v>11</v>
      </c>
      <c r="F204" s="1">
        <f>-C204</f>
        <v>3.7065776845285114E-2</v>
      </c>
      <c r="G204" s="1">
        <f t="shared" si="29"/>
        <v>-8.3337314184714628E-3</v>
      </c>
      <c r="H204" s="1" t="s">
        <v>3</v>
      </c>
      <c r="I204" s="1">
        <f>B204</f>
        <v>-8.3337314184714628E-3</v>
      </c>
    </row>
    <row r="205" spans="1:9" x14ac:dyDescent="0.2">
      <c r="A205" s="2">
        <v>2.0835060169242425E-2</v>
      </c>
      <c r="B205" s="2">
        <v>4.3612874972629799E-2</v>
      </c>
      <c r="C205" s="2">
        <v>3.4862999321394472E-2</v>
      </c>
      <c r="D205" s="1">
        <f t="shared" si="27"/>
        <v>2.0835060169242425E-2</v>
      </c>
      <c r="E205" t="s">
        <v>11</v>
      </c>
      <c r="F205" s="1">
        <f>-A205</f>
        <v>-2.0835060169242425E-2</v>
      </c>
      <c r="G205" s="1">
        <f t="shared" si="29"/>
        <v>4.3612874972629799E-2</v>
      </c>
      <c r="H205" s="1" t="s">
        <v>3</v>
      </c>
      <c r="I205" s="1">
        <f>B205</f>
        <v>4.3612874972629799E-2</v>
      </c>
    </row>
    <row r="206" spans="1:9" x14ac:dyDescent="0.2">
      <c r="A206" s="2">
        <v>-4.1138933034778058E-3</v>
      </c>
      <c r="B206" s="2">
        <v>-5.2585089106999758E-2</v>
      </c>
      <c r="C206" s="2">
        <v>-6.2161295734084576E-2</v>
      </c>
      <c r="D206" s="1">
        <f t="shared" si="27"/>
        <v>-6.2161295734084576E-2</v>
      </c>
      <c r="E206" t="s">
        <v>12</v>
      </c>
      <c r="F206" s="1">
        <f>-A206</f>
        <v>4.1138933034778058E-3</v>
      </c>
      <c r="G206" s="1">
        <f t="shared" si="29"/>
        <v>-4.1138933034778058E-3</v>
      </c>
      <c r="H206" s="1" t="s">
        <v>8</v>
      </c>
      <c r="I206" s="1">
        <f>B206</f>
        <v>-5.2585089106999758E-2</v>
      </c>
    </row>
    <row r="207" spans="1:9" x14ac:dyDescent="0.2">
      <c r="A207" s="2">
        <v>-3.0456179929834376E-2</v>
      </c>
      <c r="B207" s="2">
        <v>-3.136052086678269E-2</v>
      </c>
      <c r="C207" s="2">
        <v>-1.7597228055127756E-2</v>
      </c>
      <c r="D207" s="1">
        <f t="shared" si="27"/>
        <v>-3.136052086678269E-2</v>
      </c>
      <c r="E207" t="s">
        <v>3</v>
      </c>
      <c r="F207" s="1">
        <f>-C207</f>
        <v>1.7597228055127756E-2</v>
      </c>
      <c r="G207" s="1">
        <f t="shared" si="29"/>
        <v>-1.7597228055127756E-2</v>
      </c>
      <c r="H207" s="1" t="s">
        <v>5</v>
      </c>
      <c r="I207" s="1">
        <f>A207</f>
        <v>-3.0456179929834376E-2</v>
      </c>
    </row>
    <row r="208" spans="1:9" x14ac:dyDescent="0.2">
      <c r="A208" s="2">
        <v>4.1268306663006696E-2</v>
      </c>
      <c r="B208" s="2">
        <v>3.5773238773279988E-2</v>
      </c>
      <c r="C208" s="2">
        <v>4.8803814403686641E-2</v>
      </c>
      <c r="D208" s="1">
        <f t="shared" si="27"/>
        <v>3.5773238773279988E-2</v>
      </c>
      <c r="E208" t="s">
        <v>3</v>
      </c>
      <c r="F208" s="1">
        <f>-B208</f>
        <v>-3.5773238773279988E-2</v>
      </c>
      <c r="G208" s="1">
        <f t="shared" si="29"/>
        <v>4.8803814403686641E-2</v>
      </c>
      <c r="H208" s="1" t="s">
        <v>5</v>
      </c>
      <c r="I208" s="1">
        <f>C208</f>
        <v>4.8803814403686641E-2</v>
      </c>
    </row>
    <row r="209" spans="1:9" x14ac:dyDescent="0.2">
      <c r="A209" s="2">
        <v>-2.5741477800954801E-2</v>
      </c>
      <c r="B209" s="2">
        <v>-8.7956719149039395E-2</v>
      </c>
      <c r="C209" s="2">
        <v>-3.499209062941766E-2</v>
      </c>
      <c r="D209" s="1">
        <f t="shared" si="27"/>
        <v>-8.7956719149039395E-2</v>
      </c>
      <c r="E209" t="s">
        <v>3</v>
      </c>
      <c r="F209" s="1">
        <f t="shared" ref="F209:F210" si="31">-B209</f>
        <v>8.7956719149039395E-2</v>
      </c>
      <c r="G209" s="1">
        <f t="shared" si="29"/>
        <v>-2.5741477800954801E-2</v>
      </c>
      <c r="H209" s="1" t="s">
        <v>8</v>
      </c>
      <c r="I209" s="1">
        <f>C209</f>
        <v>-3.499209062941766E-2</v>
      </c>
    </row>
    <row r="210" spans="1:9" x14ac:dyDescent="0.2">
      <c r="A210" s="2">
        <v>-2.6190627657797699E-2</v>
      </c>
      <c r="B210" s="2">
        <v>5.3243883608711947E-5</v>
      </c>
      <c r="C210" s="2">
        <v>1.6086919274878042E-2</v>
      </c>
      <c r="D210" s="1">
        <f t="shared" si="27"/>
        <v>-2.6190627657797699E-2</v>
      </c>
      <c r="E210" t="s">
        <v>11</v>
      </c>
      <c r="F210" s="1">
        <f t="shared" si="31"/>
        <v>-5.3243883608711947E-5</v>
      </c>
      <c r="G210" s="1">
        <f t="shared" si="29"/>
        <v>1.6086919274878042E-2</v>
      </c>
      <c r="H210" s="1" t="s">
        <v>5</v>
      </c>
      <c r="I210" s="4">
        <f>A210</f>
        <v>-2.6190627657797699E-2</v>
      </c>
    </row>
    <row r="211" spans="1:9" x14ac:dyDescent="0.2">
      <c r="A211" s="2">
        <v>-4.5845502705681385E-2</v>
      </c>
      <c r="B211" s="2">
        <v>-8.391999322386641E-2</v>
      </c>
      <c r="C211" s="2">
        <v>-3.250610341718041E-2</v>
      </c>
      <c r="D211" s="1">
        <f t="shared" si="27"/>
        <v>-8.391999322386641E-2</v>
      </c>
      <c r="E211" t="s">
        <v>3</v>
      </c>
      <c r="F211" s="1">
        <f>-A211</f>
        <v>4.5845502705681385E-2</v>
      </c>
      <c r="G211" s="1">
        <f t="shared" si="29"/>
        <v>-3.250610341718041E-2</v>
      </c>
      <c r="H211" s="1" t="s">
        <v>5</v>
      </c>
      <c r="I211" s="4">
        <f>C211</f>
        <v>-3.250610341718041E-2</v>
      </c>
    </row>
    <row r="212" spans="1:9" x14ac:dyDescent="0.2">
      <c r="A212" s="2">
        <v>8.5843096825398577E-2</v>
      </c>
      <c r="B212" s="2">
        <v>9.1116347632205968E-2</v>
      </c>
      <c r="C212" s="2">
        <v>5.3370130913301228E-2</v>
      </c>
      <c r="D212" s="1">
        <f t="shared" si="27"/>
        <v>5.3370130913301228E-2</v>
      </c>
      <c r="E212" t="s">
        <v>12</v>
      </c>
      <c r="F212" s="1">
        <f>-B212</f>
        <v>-9.1116347632205968E-2</v>
      </c>
      <c r="G212" s="1">
        <f t="shared" si="29"/>
        <v>9.1116347632205968E-2</v>
      </c>
      <c r="H212" s="1" t="s">
        <v>3</v>
      </c>
      <c r="I212" s="4">
        <f>C212</f>
        <v>5.3370130913301228E-2</v>
      </c>
    </row>
    <row r="213" spans="1:9" x14ac:dyDescent="0.2">
      <c r="A213" s="2">
        <v>3.4163825934401877E-2</v>
      </c>
      <c r="B213" s="2">
        <v>-4.2440119216810436E-2</v>
      </c>
      <c r="C213" s="2">
        <v>1.0427082718861058E-2</v>
      </c>
      <c r="D213" s="1">
        <f t="shared" si="27"/>
        <v>-4.2440119216810436E-2</v>
      </c>
      <c r="E213" t="s">
        <v>3</v>
      </c>
      <c r="F213" s="1">
        <f>-C213</f>
        <v>-1.0427082718861058E-2</v>
      </c>
      <c r="G213" s="1">
        <f t="shared" si="29"/>
        <v>3.4163825934401877E-2</v>
      </c>
      <c r="H213" s="1" t="s">
        <v>8</v>
      </c>
      <c r="I213" s="4">
        <f>B213</f>
        <v>-4.2440119216810436E-2</v>
      </c>
    </row>
    <row r="214" spans="1:9" x14ac:dyDescent="0.2">
      <c r="A214" s="2">
        <v>-3.5442624233943683E-2</v>
      </c>
      <c r="B214" s="2">
        <v>-9.3395701643489287E-2</v>
      </c>
      <c r="C214" s="2">
        <v>-7.668930812953223E-2</v>
      </c>
      <c r="D214" s="1">
        <f t="shared" si="27"/>
        <v>-9.3395701643489287E-2</v>
      </c>
      <c r="E214" t="s">
        <v>3</v>
      </c>
      <c r="F214" s="1">
        <f>-B214</f>
        <v>9.3395701643489287E-2</v>
      </c>
      <c r="G214" s="1">
        <f t="shared" si="29"/>
        <v>-3.5442624233943683E-2</v>
      </c>
      <c r="H214" s="1" t="s">
        <v>8</v>
      </c>
      <c r="I214" s="4">
        <f>A214</f>
        <v>-3.5442624233943683E-2</v>
      </c>
    </row>
    <row r="215" spans="1:9" x14ac:dyDescent="0.2">
      <c r="A215" s="2">
        <v>5.7806861311733217E-2</v>
      </c>
      <c r="B215" s="2">
        <v>7.9863454576893297E-2</v>
      </c>
      <c r="C215" s="2">
        <v>6.3624807756886836E-2</v>
      </c>
      <c r="D215" s="1">
        <f t="shared" si="27"/>
        <v>5.7806861311733217E-2</v>
      </c>
      <c r="E215" t="s">
        <v>11</v>
      </c>
      <c r="F215" s="1">
        <f>-B215</f>
        <v>-7.9863454576893297E-2</v>
      </c>
      <c r="G215" s="1">
        <f t="shared" si="29"/>
        <v>7.9863454576893297E-2</v>
      </c>
      <c r="H215" s="1" t="s">
        <v>3</v>
      </c>
      <c r="I215" s="4">
        <f>A215</f>
        <v>5.7806861311733217E-2</v>
      </c>
    </row>
    <row r="216" spans="1:9" x14ac:dyDescent="0.2">
      <c r="A216" s="2">
        <v>3.8735672241026288E-2</v>
      </c>
      <c r="B216" s="2">
        <v>5.375286029369989E-2</v>
      </c>
      <c r="C216" s="2">
        <v>1.3829834279778019E-2</v>
      </c>
      <c r="D216" s="1">
        <f t="shared" si="27"/>
        <v>1.3829834279778019E-2</v>
      </c>
      <c r="E216" t="s">
        <v>12</v>
      </c>
      <c r="F216" s="1">
        <f>-A216</f>
        <v>-3.8735672241026288E-2</v>
      </c>
      <c r="G216" s="1">
        <f t="shared" si="29"/>
        <v>5.375286029369989E-2</v>
      </c>
      <c r="H216" s="1" t="s">
        <v>3</v>
      </c>
      <c r="I216" s="4">
        <f>B216</f>
        <v>5.375286029369989E-2</v>
      </c>
    </row>
    <row r="217" spans="1:9" x14ac:dyDescent="0.2">
      <c r="A217" s="2">
        <v>-3.579908921840301E-2</v>
      </c>
      <c r="B217" s="2">
        <v>-5.897144929916108E-2</v>
      </c>
      <c r="C217" s="2">
        <v>-6.7020296406842039E-2</v>
      </c>
      <c r="D217" s="1">
        <f t="shared" si="27"/>
        <v>-6.7020296406842039E-2</v>
      </c>
      <c r="E217" t="s">
        <v>12</v>
      </c>
      <c r="F217" s="1">
        <f>-C217</f>
        <v>6.7020296406842039E-2</v>
      </c>
      <c r="G217" s="1">
        <f t="shared" si="29"/>
        <v>-3.579908921840301E-2</v>
      </c>
      <c r="H217" s="1" t="s">
        <v>8</v>
      </c>
      <c r="I217" s="4">
        <f>B217</f>
        <v>-5.897144929916108E-2</v>
      </c>
    </row>
    <row r="218" spans="1:9" x14ac:dyDescent="0.2">
      <c r="A218" s="2">
        <v>-2.1216704464804285E-2</v>
      </c>
      <c r="B218" s="2">
        <v>6.1752832400052068E-2</v>
      </c>
      <c r="C218" s="2">
        <v>4.7236390810323936E-2</v>
      </c>
      <c r="D218" s="1">
        <f t="shared" si="27"/>
        <v>-2.1216704464804285E-2</v>
      </c>
      <c r="E218" t="s">
        <v>11</v>
      </c>
      <c r="F218" s="1">
        <f>-C218</f>
        <v>-4.7236390810323936E-2</v>
      </c>
      <c r="G218" s="1">
        <f t="shared" si="29"/>
        <v>6.1752832400052068E-2</v>
      </c>
      <c r="H218" s="1" t="s">
        <v>3</v>
      </c>
      <c r="I218" s="4">
        <f>A218</f>
        <v>-2.1216704464804285E-2</v>
      </c>
    </row>
    <row r="219" spans="1:9" x14ac:dyDescent="0.2">
      <c r="A219" s="2">
        <v>-9.8703776160832986E-3</v>
      </c>
      <c r="B219" s="2">
        <v>-2.6112446646715356E-2</v>
      </c>
      <c r="C219" s="2">
        <v>4.3345234823588541E-3</v>
      </c>
      <c r="D219" s="1">
        <f t="shared" si="27"/>
        <v>-2.6112446646715356E-2</v>
      </c>
      <c r="E219" t="s">
        <v>3</v>
      </c>
      <c r="F219" s="1">
        <f>-A219</f>
        <v>9.8703776160832986E-3</v>
      </c>
      <c r="G219" s="1">
        <f t="shared" si="29"/>
        <v>4.3345234823588541E-3</v>
      </c>
      <c r="H219" s="1" t="s">
        <v>5</v>
      </c>
      <c r="I219" s="4">
        <f>B219</f>
        <v>-2.6112446646715356E-2</v>
      </c>
    </row>
    <row r="220" spans="1:9" x14ac:dyDescent="0.2">
      <c r="A220" s="2">
        <v>4.9862521903883681E-4</v>
      </c>
      <c r="B220" s="2">
        <v>3.5051572358727079E-2</v>
      </c>
      <c r="C220" s="2">
        <v>2.171280163348821E-2</v>
      </c>
      <c r="D220" s="1">
        <f t="shared" si="27"/>
        <v>4.9862521903883681E-4</v>
      </c>
      <c r="E220" t="s">
        <v>11</v>
      </c>
      <c r="F220" s="1">
        <f>-B220</f>
        <v>-3.5051572358727079E-2</v>
      </c>
      <c r="G220" s="1">
        <f t="shared" si="29"/>
        <v>3.5051572358727079E-2</v>
      </c>
      <c r="H220" s="1" t="s">
        <v>3</v>
      </c>
      <c r="I220" s="4">
        <f>C220</f>
        <v>2.171280163348821E-2</v>
      </c>
    </row>
    <row r="221" spans="1:9" x14ac:dyDescent="0.2">
      <c r="A221" s="2">
        <v>3.595296408704176E-2</v>
      </c>
      <c r="B221" s="2">
        <v>1.4642360882970416E-2</v>
      </c>
      <c r="C221" s="2">
        <v>2.9062660030782839E-2</v>
      </c>
      <c r="D221" s="1">
        <f t="shared" si="27"/>
        <v>1.4642360882970416E-2</v>
      </c>
      <c r="E221" t="s">
        <v>3</v>
      </c>
      <c r="F221" s="1">
        <f>-A221</f>
        <v>-3.595296408704176E-2</v>
      </c>
      <c r="G221" s="1">
        <f t="shared" si="29"/>
        <v>3.595296408704176E-2</v>
      </c>
      <c r="H221" s="1" t="s">
        <v>8</v>
      </c>
      <c r="I221" s="4">
        <f>B221</f>
        <v>1.4642360882970416E-2</v>
      </c>
    </row>
    <row r="222" spans="1:9" x14ac:dyDescent="0.2">
      <c r="A222" s="2">
        <v>2.4705280954254085E-2</v>
      </c>
      <c r="B222" s="2">
        <v>2.4823239348792572E-3</v>
      </c>
      <c r="C222" s="2">
        <v>7.0398150291581363E-2</v>
      </c>
      <c r="D222" s="1">
        <f t="shared" si="27"/>
        <v>2.4823239348792572E-3</v>
      </c>
      <c r="E222" t="s">
        <v>3</v>
      </c>
      <c r="F222" s="1">
        <f>-B222</f>
        <v>-2.4823239348792572E-3</v>
      </c>
      <c r="G222" s="1">
        <f t="shared" si="29"/>
        <v>7.0398150291581363E-2</v>
      </c>
      <c r="H222" s="1" t="s">
        <v>5</v>
      </c>
      <c r="I222" s="4">
        <f>A222</f>
        <v>2.4705280954254085E-2</v>
      </c>
    </row>
    <row r="223" spans="1:9" x14ac:dyDescent="0.2">
      <c r="A223" s="2">
        <v>3.347564699058992E-2</v>
      </c>
      <c r="B223" s="2">
        <v>6.4727512841431398E-2</v>
      </c>
      <c r="C223" s="2">
        <v>7.4500418934546397E-2</v>
      </c>
      <c r="D223" s="1">
        <f t="shared" si="27"/>
        <v>3.347564699058992E-2</v>
      </c>
      <c r="E223" t="s">
        <v>11</v>
      </c>
      <c r="F223" s="1">
        <f>-B223</f>
        <v>-6.4727512841431398E-2</v>
      </c>
      <c r="G223" s="1">
        <f t="shared" si="29"/>
        <v>7.4500418934546397E-2</v>
      </c>
      <c r="H223" s="1" t="s">
        <v>5</v>
      </c>
      <c r="I223" s="4">
        <f>C223</f>
        <v>7.4500418934546397E-2</v>
      </c>
    </row>
    <row r="224" spans="1:9" x14ac:dyDescent="0.2">
      <c r="A224" s="2">
        <v>2.7953495875062743E-2</v>
      </c>
      <c r="B224" s="2">
        <v>3.1138913980379185E-2</v>
      </c>
      <c r="C224" s="2">
        <v>-5.0679380904061766E-4</v>
      </c>
      <c r="D224" s="1">
        <f t="shared" si="27"/>
        <v>-5.0679380904061766E-4</v>
      </c>
      <c r="E224" t="s">
        <v>12</v>
      </c>
      <c r="F224" s="1">
        <f>-A224</f>
        <v>-2.7953495875062743E-2</v>
      </c>
      <c r="G224" s="1">
        <f t="shared" si="29"/>
        <v>3.1138913980379185E-2</v>
      </c>
      <c r="H224" s="1" t="s">
        <v>3</v>
      </c>
      <c r="I224" s="4">
        <f>C224</f>
        <v>-5.0679380904061766E-4</v>
      </c>
    </row>
    <row r="225" spans="1:9" x14ac:dyDescent="0.2">
      <c r="A225" s="2">
        <v>-2.549706009544592E-2</v>
      </c>
      <c r="B225" s="2">
        <v>-1.7716432481433741E-2</v>
      </c>
      <c r="C225" s="2">
        <v>-1.6666958075160498E-2</v>
      </c>
      <c r="D225" s="1">
        <f t="shared" si="27"/>
        <v>-2.549706009544592E-2</v>
      </c>
      <c r="E225" t="s">
        <v>11</v>
      </c>
      <c r="F225" s="1">
        <f>-C225</f>
        <v>1.6666958075160498E-2</v>
      </c>
      <c r="G225" s="1">
        <f t="shared" si="29"/>
        <v>-1.6666958075160498E-2</v>
      </c>
      <c r="H225" s="1" t="s">
        <v>5</v>
      </c>
      <c r="I225" s="4">
        <f>B225</f>
        <v>-1.7716432481433741E-2</v>
      </c>
    </row>
    <row r="226" spans="1:9" x14ac:dyDescent="0.2">
      <c r="A226" s="2">
        <v>1.5378348242001832E-2</v>
      </c>
      <c r="B226" s="2">
        <v>-4.8719291162155016E-2</v>
      </c>
      <c r="C226" s="2">
        <v>-2.3351790686139018E-2</v>
      </c>
      <c r="D226" s="1">
        <f t="shared" si="27"/>
        <v>-4.8719291162155016E-2</v>
      </c>
      <c r="E226" t="s">
        <v>3</v>
      </c>
      <c r="F226" s="1">
        <f>-A226</f>
        <v>-1.5378348242001832E-2</v>
      </c>
      <c r="G226" s="1">
        <f t="shared" si="29"/>
        <v>1.5378348242001832E-2</v>
      </c>
      <c r="H226" s="1" t="s">
        <v>8</v>
      </c>
      <c r="I226" s="4">
        <f>C226</f>
        <v>-2.3351790686139018E-2</v>
      </c>
    </row>
    <row r="227" spans="1:9" x14ac:dyDescent="0.2">
      <c r="A227" s="2">
        <v>-2.9675333188208603E-2</v>
      </c>
      <c r="B227" s="2">
        <v>-2.1979687736850082E-2</v>
      </c>
      <c r="C227" s="2">
        <v>-3.135105510078906E-2</v>
      </c>
      <c r="D227" s="1">
        <f t="shared" si="27"/>
        <v>-3.135105510078906E-2</v>
      </c>
      <c r="E227" t="s">
        <v>12</v>
      </c>
      <c r="F227" s="1">
        <f>-B227</f>
        <v>2.1979687736850082E-2</v>
      </c>
      <c r="G227" s="1">
        <f t="shared" si="29"/>
        <v>-2.1979687736850082E-2</v>
      </c>
      <c r="H227" s="1" t="s">
        <v>3</v>
      </c>
      <c r="I227" s="4">
        <f>A227</f>
        <v>-2.9675333188208603E-2</v>
      </c>
    </row>
    <row r="228" spans="1:9" x14ac:dyDescent="0.2">
      <c r="A228" s="2">
        <v>4.8743849895412833E-2</v>
      </c>
      <c r="B228" s="2">
        <v>8.9179264628737653E-2</v>
      </c>
      <c r="C228" s="2">
        <v>8.5163251384934968E-2</v>
      </c>
      <c r="D228" s="1">
        <f t="shared" si="27"/>
        <v>4.8743849895412833E-2</v>
      </c>
      <c r="E228" t="s">
        <v>11</v>
      </c>
      <c r="F228" s="1">
        <f>-C228</f>
        <v>-8.5163251384934968E-2</v>
      </c>
      <c r="G228" s="1">
        <f t="shared" si="29"/>
        <v>8.9179264628737653E-2</v>
      </c>
      <c r="H228" s="1" t="s">
        <v>3</v>
      </c>
      <c r="I228" s="4">
        <f>B228</f>
        <v>8.9179264628737653E-2</v>
      </c>
    </row>
    <row r="229" spans="1:9" x14ac:dyDescent="0.2">
      <c r="A229" s="2">
        <v>7.8398899869887878E-2</v>
      </c>
      <c r="B229" s="2">
        <v>4.4229169403213746E-2</v>
      </c>
      <c r="C229" s="2">
        <v>-6.7847447165148012E-4</v>
      </c>
      <c r="D229" s="1">
        <f t="shared" si="27"/>
        <v>-6.7847447165148012E-4</v>
      </c>
      <c r="E229" t="s">
        <v>12</v>
      </c>
      <c r="F229" s="1">
        <f>-A229</f>
        <v>-7.8398899869887878E-2</v>
      </c>
      <c r="G229" s="1">
        <f t="shared" si="29"/>
        <v>7.8398899869887878E-2</v>
      </c>
      <c r="H229" s="1" t="s">
        <v>8</v>
      </c>
      <c r="I229" s="4">
        <f>B229</f>
        <v>4.4229169403213746E-2</v>
      </c>
    </row>
    <row r="230" spans="1:9" x14ac:dyDescent="0.2">
      <c r="A230" s="2">
        <v>-6.757312335254527E-3</v>
      </c>
      <c r="B230" s="2">
        <v>1.5895744712075631E-2</v>
      </c>
      <c r="C230" s="2">
        <v>8.4345136903141604E-2</v>
      </c>
      <c r="D230" s="1">
        <f t="shared" si="27"/>
        <v>-6.757312335254527E-3</v>
      </c>
      <c r="E230" t="s">
        <v>11</v>
      </c>
      <c r="F230" s="1">
        <f>-C230</f>
        <v>-8.4345136903141604E-2</v>
      </c>
      <c r="G230" s="1">
        <f t="shared" si="29"/>
        <v>8.4345136903141604E-2</v>
      </c>
      <c r="H230" s="1" t="s">
        <v>5</v>
      </c>
      <c r="I230" s="4">
        <f>A230</f>
        <v>-6.757312335254527E-3</v>
      </c>
    </row>
    <row r="231" spans="1:9" x14ac:dyDescent="0.2">
      <c r="A231" s="2">
        <v>1.0427428545306924E-2</v>
      </c>
      <c r="B231" s="2">
        <v>5.1720615397315289E-2</v>
      </c>
      <c r="C231" s="2">
        <v>7.9353570494542058E-2</v>
      </c>
      <c r="D231" s="1">
        <f t="shared" si="27"/>
        <v>1.0427428545306924E-2</v>
      </c>
      <c r="E231" t="s">
        <v>11</v>
      </c>
      <c r="F231" s="1">
        <f>-A231</f>
        <v>-1.0427428545306924E-2</v>
      </c>
      <c r="G231" s="1">
        <f t="shared" si="29"/>
        <v>7.9353570494542058E-2</v>
      </c>
      <c r="H231" s="1" t="s">
        <v>5</v>
      </c>
      <c r="I231" s="4">
        <f>C231</f>
        <v>7.9353570494542058E-2</v>
      </c>
    </row>
    <row r="232" spans="1:9" x14ac:dyDescent="0.2">
      <c r="A232" s="2">
        <v>1.5876486028333716E-2</v>
      </c>
      <c r="B232" s="2">
        <v>3.1018764704381814E-2</v>
      </c>
      <c r="C232" s="2">
        <v>3.0721650484767604E-2</v>
      </c>
      <c r="D232" s="1">
        <f t="shared" si="27"/>
        <v>1.5876486028333716E-2</v>
      </c>
      <c r="E232" t="s">
        <v>11</v>
      </c>
      <c r="F232" s="1">
        <f t="shared" ref="F232:F233" si="32">-A232</f>
        <v>-1.5876486028333716E-2</v>
      </c>
      <c r="G232" s="1">
        <f t="shared" si="29"/>
        <v>3.1018764704381814E-2</v>
      </c>
      <c r="H232" s="1" t="s">
        <v>3</v>
      </c>
      <c r="I232" s="4">
        <f>C232</f>
        <v>3.0721650484767604E-2</v>
      </c>
    </row>
    <row r="233" spans="1:9" x14ac:dyDescent="0.2">
      <c r="A233" s="2">
        <v>1.128872722631687E-2</v>
      </c>
      <c r="B233" s="2">
        <v>-4.1615042774082567E-2</v>
      </c>
      <c r="C233" s="2">
        <v>-4.8645212814445782E-2</v>
      </c>
      <c r="D233" s="1">
        <f t="shared" si="27"/>
        <v>-4.8645212814445782E-2</v>
      </c>
      <c r="E233" t="s">
        <v>12</v>
      </c>
      <c r="F233" s="1">
        <f t="shared" si="32"/>
        <v>-1.128872722631687E-2</v>
      </c>
      <c r="G233" s="1">
        <f t="shared" si="29"/>
        <v>1.128872722631687E-2</v>
      </c>
      <c r="H233" s="1" t="s">
        <v>8</v>
      </c>
      <c r="I233" s="4">
        <f>B233</f>
        <v>-4.1615042774082567E-2</v>
      </c>
    </row>
    <row r="234" spans="1:9" x14ac:dyDescent="0.2">
      <c r="A234" s="2">
        <v>-7.0012155829844314E-3</v>
      </c>
      <c r="B234" s="2">
        <v>4.8021224499522536E-2</v>
      </c>
      <c r="C234" s="2">
        <v>2.1413510404455494E-3</v>
      </c>
      <c r="D234" s="1">
        <f t="shared" si="27"/>
        <v>-7.0012155829844314E-3</v>
      </c>
      <c r="E234" t="s">
        <v>11</v>
      </c>
      <c r="F234" s="1">
        <f>-C234</f>
        <v>-2.1413510404455494E-3</v>
      </c>
      <c r="G234" s="1">
        <f t="shared" si="29"/>
        <v>4.8021224499522536E-2</v>
      </c>
      <c r="H234" s="1" t="s">
        <v>3</v>
      </c>
      <c r="I234" s="4">
        <f>A234</f>
        <v>-7.0012155829844314E-3</v>
      </c>
    </row>
    <row r="235" spans="1:9" x14ac:dyDescent="0.2">
      <c r="A235" s="2">
        <v>6.8568552936663751E-2</v>
      </c>
      <c r="B235" s="2">
        <v>3.4669759034089816E-2</v>
      </c>
      <c r="C235" s="2">
        <v>2.8455176821806427E-2</v>
      </c>
      <c r="D235" s="1">
        <f t="shared" si="27"/>
        <v>2.8455176821806427E-2</v>
      </c>
      <c r="E235" t="s">
        <v>12</v>
      </c>
      <c r="F235" s="1">
        <f>-A235</f>
        <v>-6.8568552936663751E-2</v>
      </c>
      <c r="G235" s="1">
        <f t="shared" si="29"/>
        <v>6.8568552936663751E-2</v>
      </c>
      <c r="H235" s="1" t="s">
        <v>8</v>
      </c>
      <c r="I235" s="4">
        <f>B235</f>
        <v>3.4669759034089816E-2</v>
      </c>
    </row>
    <row r="236" spans="1:9" x14ac:dyDescent="0.2">
      <c r="A236" s="2">
        <v>3.4272003510444356E-2</v>
      </c>
      <c r="B236" s="2">
        <v>1.1321349038912444E-2</v>
      </c>
      <c r="C236" s="2">
        <v>-1.2158225181062243E-2</v>
      </c>
      <c r="D236" s="1">
        <f t="shared" ref="D236:D254" si="33">MIN(A236:C236)</f>
        <v>-1.2158225181062243E-2</v>
      </c>
      <c r="E236" t="s">
        <v>12</v>
      </c>
      <c r="F236" s="1">
        <f>-C236</f>
        <v>1.2158225181062243E-2</v>
      </c>
      <c r="G236" s="1">
        <f t="shared" si="29"/>
        <v>3.4272003510444356E-2</v>
      </c>
      <c r="H236" s="1" t="s">
        <v>8</v>
      </c>
      <c r="I236" s="4">
        <f>A236</f>
        <v>3.4272003510444356E-2</v>
      </c>
    </row>
    <row r="237" spans="1:9" x14ac:dyDescent="0.2">
      <c r="A237" s="2">
        <v>7.6390966920778106E-3</v>
      </c>
      <c r="B237" s="2">
        <v>2.2834688445031861E-2</v>
      </c>
      <c r="C237" s="2">
        <v>-1.1612502947433101E-2</v>
      </c>
      <c r="D237" s="1">
        <f t="shared" si="33"/>
        <v>-1.1612502947433101E-2</v>
      </c>
      <c r="E237" t="s">
        <v>12</v>
      </c>
      <c r="F237" s="1">
        <f t="shared" ref="F237:F239" si="34">-C237</f>
        <v>1.1612502947433101E-2</v>
      </c>
      <c r="G237" s="1">
        <f t="shared" si="29"/>
        <v>2.2834688445031861E-2</v>
      </c>
      <c r="H237" s="1" t="s">
        <v>3</v>
      </c>
      <c r="I237" s="4">
        <f>A237</f>
        <v>7.6390966920778106E-3</v>
      </c>
    </row>
    <row r="238" spans="1:9" x14ac:dyDescent="0.2">
      <c r="A238" s="2">
        <v>2.3480749345268E-2</v>
      </c>
      <c r="B238" s="2">
        <v>2.0196869910063014E-2</v>
      </c>
      <c r="C238" s="2">
        <v>-1.8841976570434182E-2</v>
      </c>
      <c r="D238" s="1">
        <f t="shared" si="33"/>
        <v>-1.8841976570434182E-2</v>
      </c>
      <c r="E238" t="s">
        <v>12</v>
      </c>
      <c r="F238" s="1">
        <f t="shared" si="34"/>
        <v>1.8841976570434182E-2</v>
      </c>
      <c r="G238" s="1">
        <f t="shared" si="29"/>
        <v>2.3480749345268E-2</v>
      </c>
      <c r="H238" s="1" t="s">
        <v>8</v>
      </c>
      <c r="I238" s="4">
        <f>B238</f>
        <v>2.0196869910063014E-2</v>
      </c>
    </row>
    <row r="239" spans="1:9" x14ac:dyDescent="0.2">
      <c r="A239" s="2">
        <v>-5.8253058311658716E-2</v>
      </c>
      <c r="B239" s="2">
        <v>-9.896780552817494E-3</v>
      </c>
      <c r="C239" s="2">
        <v>3.0635912082289884E-2</v>
      </c>
      <c r="D239" s="1">
        <f t="shared" si="33"/>
        <v>-5.8253058311658716E-2</v>
      </c>
      <c r="E239" t="s">
        <v>11</v>
      </c>
      <c r="F239" s="1">
        <f t="shared" si="34"/>
        <v>-3.0635912082289884E-2</v>
      </c>
      <c r="G239" s="1">
        <f t="shared" si="29"/>
        <v>3.0635912082289884E-2</v>
      </c>
      <c r="H239" s="1" t="s">
        <v>5</v>
      </c>
      <c r="I239" s="4">
        <f>A239</f>
        <v>-5.8253058311658716E-2</v>
      </c>
    </row>
    <row r="240" spans="1:9" x14ac:dyDescent="0.2">
      <c r="A240" s="2">
        <v>5.2114233371700833E-3</v>
      </c>
      <c r="B240" s="2">
        <v>5.7301352215863834E-2</v>
      </c>
      <c r="C240" s="2">
        <v>-2.2343707020630155E-2</v>
      </c>
      <c r="D240" s="1">
        <f t="shared" si="33"/>
        <v>-2.2343707020630155E-2</v>
      </c>
      <c r="E240" t="s">
        <v>12</v>
      </c>
      <c r="F240" s="1">
        <f>-A240</f>
        <v>-5.2114233371700833E-3</v>
      </c>
      <c r="G240" s="1">
        <f t="shared" si="29"/>
        <v>5.7301352215863834E-2</v>
      </c>
      <c r="H240" s="1" t="s">
        <v>3</v>
      </c>
      <c r="I240" s="4">
        <f>C240</f>
        <v>-2.2343707020630155E-2</v>
      </c>
    </row>
    <row r="241" spans="1:9" x14ac:dyDescent="0.2">
      <c r="A241" s="2">
        <v>-2.0848644514809556E-2</v>
      </c>
      <c r="B241" s="2">
        <v>-2.4990136563014929E-2</v>
      </c>
      <c r="C241" s="2">
        <v>4.4140197754241717E-2</v>
      </c>
      <c r="D241" s="1">
        <f t="shared" si="33"/>
        <v>-2.4990136563014929E-2</v>
      </c>
      <c r="E241" t="s">
        <v>3</v>
      </c>
      <c r="F241" s="1">
        <f>-C241</f>
        <v>-4.4140197754241717E-2</v>
      </c>
      <c r="G241" s="1">
        <f t="shared" si="29"/>
        <v>4.4140197754241717E-2</v>
      </c>
      <c r="H241" s="1" t="s">
        <v>5</v>
      </c>
      <c r="I241" s="4">
        <f>B241</f>
        <v>-2.4990136563014929E-2</v>
      </c>
    </row>
    <row r="242" spans="1:9" x14ac:dyDescent="0.2">
      <c r="A242" s="2">
        <v>-8.1705667885987789E-3</v>
      </c>
      <c r="B242" s="2">
        <v>2.7016320305765517E-2</v>
      </c>
      <c r="C242" s="2">
        <v>-8.0725332338711375E-3</v>
      </c>
      <c r="D242" s="1">
        <f t="shared" si="33"/>
        <v>-8.1705667885987789E-3</v>
      </c>
      <c r="E242" t="s">
        <v>11</v>
      </c>
      <c r="F242" s="1">
        <f>-B242</f>
        <v>-2.7016320305765517E-2</v>
      </c>
      <c r="G242" s="1">
        <f t="shared" si="29"/>
        <v>2.7016320305765517E-2</v>
      </c>
      <c r="H242" s="1" t="s">
        <v>3</v>
      </c>
      <c r="I242" s="4">
        <f>C242</f>
        <v>-8.0725332338711375E-3</v>
      </c>
    </row>
    <row r="243" spans="1:9" x14ac:dyDescent="0.2">
      <c r="A243" s="2">
        <v>-5.5515333629159128E-2</v>
      </c>
      <c r="B243" s="2">
        <v>-1.4242127760312381E-2</v>
      </c>
      <c r="C243" s="2">
        <v>-6.1077531386071415E-2</v>
      </c>
      <c r="D243" s="1">
        <f t="shared" si="33"/>
        <v>-6.1077531386071415E-2</v>
      </c>
      <c r="E243" t="s">
        <v>12</v>
      </c>
      <c r="F243" s="1">
        <f>-A243</f>
        <v>5.5515333629159128E-2</v>
      </c>
      <c r="G243" s="1">
        <f t="shared" si="29"/>
        <v>-1.4242127760312381E-2</v>
      </c>
      <c r="H243" s="1" t="s">
        <v>3</v>
      </c>
      <c r="I243" s="4">
        <f>B243</f>
        <v>-1.4242127760312381E-2</v>
      </c>
    </row>
    <row r="244" spans="1:9" x14ac:dyDescent="0.2">
      <c r="A244" s="2">
        <v>5.7608325899169407E-2</v>
      </c>
      <c r="B244" s="2">
        <v>-5.7544714081786824E-2</v>
      </c>
      <c r="C244" s="2">
        <v>-4.1391987727254387E-2</v>
      </c>
      <c r="D244" s="1">
        <f t="shared" si="33"/>
        <v>-5.7544714081786824E-2</v>
      </c>
      <c r="E244" t="s">
        <v>3</v>
      </c>
      <c r="F244" s="1">
        <f>-C244</f>
        <v>4.1391987727254387E-2</v>
      </c>
      <c r="G244" s="1">
        <f t="shared" si="29"/>
        <v>5.7608325899169407E-2</v>
      </c>
      <c r="H244" s="1" t="s">
        <v>8</v>
      </c>
      <c r="I244" s="4">
        <f>B244</f>
        <v>-5.7544714081786824E-2</v>
      </c>
    </row>
    <row r="245" spans="1:9" x14ac:dyDescent="0.2">
      <c r="A245" s="2">
        <v>3.8722251472971973E-2</v>
      </c>
      <c r="B245" s="2">
        <v>-7.6249365182604594E-3</v>
      </c>
      <c r="C245" s="2">
        <v>1.2011490961200133E-2</v>
      </c>
      <c r="D245" s="1">
        <f t="shared" si="33"/>
        <v>-7.6249365182604594E-3</v>
      </c>
      <c r="E245" t="s">
        <v>3</v>
      </c>
      <c r="F245" s="1">
        <f>-B245</f>
        <v>7.6249365182604594E-3</v>
      </c>
      <c r="G245" s="1">
        <f t="shared" si="29"/>
        <v>3.8722251472971973E-2</v>
      </c>
      <c r="H245" s="1" t="s">
        <v>8</v>
      </c>
      <c r="I245" s="4">
        <f>A245</f>
        <v>3.8722251472971973E-2</v>
      </c>
    </row>
    <row r="246" spans="1:9" x14ac:dyDescent="0.2">
      <c r="A246" s="2">
        <v>1.2967619502416221E-2</v>
      </c>
      <c r="B246" s="2">
        <v>6.1523847830693E-2</v>
      </c>
      <c r="C246" s="2">
        <v>5.325842035789341E-2</v>
      </c>
      <c r="D246" s="1">
        <f t="shared" si="33"/>
        <v>1.2967619502416221E-2</v>
      </c>
      <c r="E246" t="s">
        <v>11</v>
      </c>
      <c r="F246" s="1">
        <f>-B246</f>
        <v>-6.1523847830693E-2</v>
      </c>
      <c r="G246" s="1">
        <f t="shared" si="29"/>
        <v>6.1523847830693E-2</v>
      </c>
      <c r="H246" s="1" t="s">
        <v>3</v>
      </c>
      <c r="I246" s="4">
        <f>A246</f>
        <v>1.2967619502416221E-2</v>
      </c>
    </row>
    <row r="247" spans="1:9" x14ac:dyDescent="0.2">
      <c r="A247" s="2">
        <v>2.6408329666703406E-2</v>
      </c>
      <c r="B247" s="2">
        <v>4.9606796026178679E-2</v>
      </c>
      <c r="C247" s="2">
        <v>6.6437069835190821E-2</v>
      </c>
      <c r="D247" s="1">
        <f t="shared" si="33"/>
        <v>2.6408329666703406E-2</v>
      </c>
      <c r="E247" t="s">
        <v>11</v>
      </c>
      <c r="F247" s="1">
        <f>-A247</f>
        <v>-2.6408329666703406E-2</v>
      </c>
      <c r="G247" s="1">
        <f t="shared" si="29"/>
        <v>6.6437069835190821E-2</v>
      </c>
      <c r="H247" s="1" t="s">
        <v>5</v>
      </c>
      <c r="I247" s="4">
        <f>B247</f>
        <v>4.9606796026178679E-2</v>
      </c>
    </row>
    <row r="248" spans="1:9" x14ac:dyDescent="0.2">
      <c r="A248" s="2">
        <v>-2.8955657254236149E-2</v>
      </c>
      <c r="B248" s="2">
        <v>2.1666572655702383E-2</v>
      </c>
      <c r="C248" s="2">
        <v>1.438546668481222E-2</v>
      </c>
      <c r="D248" s="1">
        <f t="shared" si="33"/>
        <v>-2.8955657254236149E-2</v>
      </c>
      <c r="E248" t="s">
        <v>11</v>
      </c>
      <c r="F248" s="1">
        <f t="shared" ref="F248:F251" si="35">-A248</f>
        <v>2.8955657254236149E-2</v>
      </c>
      <c r="G248" s="1">
        <f t="shared" si="29"/>
        <v>2.1666572655702383E-2</v>
      </c>
      <c r="H248" s="1" t="s">
        <v>3</v>
      </c>
      <c r="I248" s="4">
        <f>C248</f>
        <v>1.438546668481222E-2</v>
      </c>
    </row>
    <row r="249" spans="1:9" x14ac:dyDescent="0.2">
      <c r="A249" s="2">
        <v>-1.6947960462929592E-2</v>
      </c>
      <c r="B249" s="2">
        <v>1.9066503244002955E-2</v>
      </c>
      <c r="C249" s="2">
        <v>4.0142615672530413E-2</v>
      </c>
      <c r="D249" s="1">
        <f t="shared" si="33"/>
        <v>-1.6947960462929592E-2</v>
      </c>
      <c r="E249" t="s">
        <v>11</v>
      </c>
      <c r="F249" s="1">
        <f t="shared" si="35"/>
        <v>1.6947960462929592E-2</v>
      </c>
      <c r="G249" s="1">
        <f t="shared" si="29"/>
        <v>4.0142615672530413E-2</v>
      </c>
      <c r="H249" s="1" t="s">
        <v>5</v>
      </c>
      <c r="I249" s="4">
        <f>B249</f>
        <v>1.9066503244002955E-2</v>
      </c>
    </row>
    <row r="250" spans="1:9" x14ac:dyDescent="0.2">
      <c r="A250" s="2">
        <v>5.7382785164450814E-3</v>
      </c>
      <c r="B250" s="2">
        <v>3.5323655704259549E-2</v>
      </c>
      <c r="C250" s="2">
        <v>5.1831444337776977E-2</v>
      </c>
      <c r="D250" s="1">
        <f t="shared" si="33"/>
        <v>5.7382785164450814E-3</v>
      </c>
      <c r="E250" t="s">
        <v>11</v>
      </c>
      <c r="F250" s="1">
        <f t="shared" si="35"/>
        <v>-5.7382785164450814E-3</v>
      </c>
      <c r="G250" s="1">
        <f t="shared" si="29"/>
        <v>5.1831444337776977E-2</v>
      </c>
      <c r="H250" s="1" t="s">
        <v>5</v>
      </c>
      <c r="I250" s="4">
        <f>C250</f>
        <v>5.1831444337776977E-2</v>
      </c>
    </row>
    <row r="251" spans="1:9" x14ac:dyDescent="0.2">
      <c r="A251" s="2">
        <v>4.573562789079845E-2</v>
      </c>
      <c r="B251" s="2">
        <v>2.268683673072722E-2</v>
      </c>
      <c r="C251" s="2">
        <v>0.16644273882922045</v>
      </c>
      <c r="D251" s="1">
        <f t="shared" si="33"/>
        <v>2.268683673072722E-2</v>
      </c>
      <c r="E251" t="s">
        <v>3</v>
      </c>
      <c r="F251" s="1">
        <f t="shared" si="35"/>
        <v>-4.573562789079845E-2</v>
      </c>
      <c r="G251" s="1">
        <f t="shared" si="29"/>
        <v>0.16644273882922045</v>
      </c>
      <c r="H251" s="1" t="s">
        <v>5</v>
      </c>
      <c r="I251" s="4">
        <f>C251</f>
        <v>0.16644273882922045</v>
      </c>
    </row>
    <row r="252" spans="1:9" x14ac:dyDescent="0.2">
      <c r="A252" s="2">
        <v>2.1062510967823925E-2</v>
      </c>
      <c r="B252" s="2">
        <v>1.2996696003041326E-3</v>
      </c>
      <c r="C252" s="2">
        <v>-4.1163419977432225E-2</v>
      </c>
      <c r="D252" s="1">
        <f t="shared" si="33"/>
        <v>-4.1163419977432225E-2</v>
      </c>
      <c r="E252" t="s">
        <v>12</v>
      </c>
      <c r="F252" s="1">
        <f>-B252</f>
        <v>-1.2996696003041326E-3</v>
      </c>
      <c r="G252" s="1">
        <f t="shared" si="29"/>
        <v>2.1062510967823925E-2</v>
      </c>
      <c r="H252" s="1" t="s">
        <v>8</v>
      </c>
      <c r="I252" s="4">
        <f>C252</f>
        <v>-4.1163419977432225E-2</v>
      </c>
    </row>
    <row r="253" spans="1:9" x14ac:dyDescent="0.2">
      <c r="A253" s="2">
        <v>-5.671320563498645E-3</v>
      </c>
      <c r="B253" s="2">
        <v>-5.2415722380639554E-4</v>
      </c>
      <c r="C253" s="2">
        <v>1.7027530793125578E-3</v>
      </c>
      <c r="D253" s="1">
        <f t="shared" si="33"/>
        <v>-5.671320563498645E-3</v>
      </c>
      <c r="E253" t="s">
        <v>11</v>
      </c>
      <c r="F253" s="1">
        <f>-C253</f>
        <v>-1.7027530793125578E-3</v>
      </c>
      <c r="G253" s="1">
        <f t="shared" si="29"/>
        <v>1.7027530793125578E-3</v>
      </c>
      <c r="H253" s="1" t="s">
        <v>5</v>
      </c>
      <c r="I253" s="4">
        <f>A253</f>
        <v>-5.671320563498645E-3</v>
      </c>
    </row>
    <row r="254" spans="1:9" x14ac:dyDescent="0.2">
      <c r="A254" s="2">
        <v>-4.321607686404471E-2</v>
      </c>
      <c r="B254" s="2">
        <v>1.0241764662917197E-2</v>
      </c>
      <c r="C254" s="2">
        <v>5.0572036103670559E-2</v>
      </c>
      <c r="D254" s="1">
        <f t="shared" si="33"/>
        <v>-4.321607686404471E-2</v>
      </c>
      <c r="E254" t="s">
        <v>11</v>
      </c>
      <c r="G254" s="1">
        <f t="shared" si="29"/>
        <v>5.0572036103670559E-2</v>
      </c>
      <c r="I254" s="4">
        <f>C254</f>
        <v>5.0572036103670559E-2</v>
      </c>
    </row>
    <row r="255" spans="1:9" x14ac:dyDescent="0.2">
      <c r="A255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 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chandan</dc:creator>
  <cp:lastModifiedBy>sachin chandan</cp:lastModifiedBy>
  <dcterms:created xsi:type="dcterms:W3CDTF">2026-01-25T22:42:27Z</dcterms:created>
  <dcterms:modified xsi:type="dcterms:W3CDTF">2026-02-03T10:06:40Z</dcterms:modified>
</cp:coreProperties>
</file>